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519EF6E-597C-4D0C-AB24-251D95973E02}" xr6:coauthVersionLast="47" xr6:coauthVersionMax="47" xr10:uidLastSave="{00000000-0000-0000-0000-000000000000}"/>
  <bookViews>
    <workbookView xWindow="-110" yWindow="-110" windowWidth="19420" windowHeight="10300" xr2:uid="{A3549A32-D8F2-4FBA-AEF5-757BCE8AAA73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olver_adj" localSheetId="2" hidden="1">Sheet3!$B$3:$E$7,Sheet3!$A$12:$F$12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1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Sheet3!$S$2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3" l="1"/>
  <c r="O19" i="3"/>
  <c r="O20" i="3"/>
  <c r="O21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N18" i="3" s="1"/>
  <c r="H20" i="3"/>
  <c r="N19" i="3" s="1"/>
  <c r="H21" i="3"/>
  <c r="N20" i="3" s="1"/>
  <c r="H22" i="3"/>
  <c r="N21" i="3" s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2" i="3"/>
  <c r="A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B3" i="2"/>
  <c r="C3" i="2"/>
  <c r="D3" i="2"/>
  <c r="F4" i="1"/>
  <c r="I3" i="1"/>
  <c r="H3" i="1"/>
  <c r="G3" i="1"/>
  <c r="N2" i="3" l="1"/>
  <c r="N10" i="3" l="1"/>
  <c r="P10" i="3" s="1"/>
  <c r="N16" i="3"/>
  <c r="P16" i="3" s="1"/>
  <c r="N9" i="3"/>
  <c r="P9" i="3" s="1"/>
  <c r="N5" i="3"/>
  <c r="P5" i="3" s="1"/>
  <c r="N6" i="3"/>
  <c r="P6" i="3" s="1"/>
  <c r="N8" i="3"/>
  <c r="P8" i="3" s="1"/>
  <c r="N3" i="3"/>
  <c r="P3" i="3" s="1"/>
  <c r="N11" i="3"/>
  <c r="P11" i="3" s="1"/>
  <c r="N4" i="3"/>
  <c r="P4" i="3" s="1"/>
  <c r="N15" i="3"/>
  <c r="P15" i="3" s="1"/>
  <c r="N7" i="3"/>
  <c r="P7" i="3" s="1"/>
  <c r="N12" i="3"/>
  <c r="P12" i="3" s="1"/>
  <c r="N13" i="3"/>
  <c r="P13" i="3" s="1"/>
  <c r="N14" i="3"/>
  <c r="P14" i="3" s="1"/>
  <c r="N17" i="3"/>
  <c r="P17" i="3" s="1"/>
  <c r="P2" i="3"/>
  <c r="S2" i="3" l="1"/>
</calcChain>
</file>

<file path=xl/sharedStrings.xml><?xml version="1.0" encoding="utf-8"?>
<sst xmlns="http://schemas.openxmlformats.org/spreadsheetml/2006/main" count="82" uniqueCount="46">
  <si>
    <t>INPUT</t>
  </si>
  <si>
    <t>OUTPUT</t>
  </si>
  <si>
    <t>Number of Rooms</t>
  </si>
  <si>
    <t>Number of Residents</t>
  </si>
  <si>
    <t>Average Temp (°C)</t>
  </si>
  <si>
    <t>Energy Consumption (kWh)</t>
  </si>
  <si>
    <t>Mean</t>
  </si>
  <si>
    <t>Standard Deviation</t>
  </si>
  <si>
    <t xml:space="preserve">      Number  of Rooms</t>
  </si>
  <si>
    <t>Number of residents</t>
  </si>
  <si>
    <t>Average Temp</t>
  </si>
  <si>
    <t>Energy Consumption</t>
  </si>
  <si>
    <t>Validation set</t>
  </si>
  <si>
    <t>bias</t>
  </si>
  <si>
    <t>OUTPUT LAYER WEIGHTS</t>
  </si>
  <si>
    <t>Input layer</t>
  </si>
  <si>
    <t>w1j</t>
  </si>
  <si>
    <t>w2j</t>
  </si>
  <si>
    <t>w3j</t>
  </si>
  <si>
    <t>Node1</t>
  </si>
  <si>
    <t>Node2</t>
  </si>
  <si>
    <t>Node3</t>
  </si>
  <si>
    <t>Node4</t>
  </si>
  <si>
    <t>Node5</t>
  </si>
  <si>
    <t>Node1(z1)</t>
  </si>
  <si>
    <t>Node2(z2)</t>
  </si>
  <si>
    <t>Node3(z3)</t>
  </si>
  <si>
    <t>Node4(z4)</t>
  </si>
  <si>
    <t>Node5(z5)</t>
  </si>
  <si>
    <t>W(Node 1)</t>
  </si>
  <si>
    <t>W(Node2)</t>
  </si>
  <si>
    <t>W(Node3)</t>
  </si>
  <si>
    <t>W(Node4)</t>
  </si>
  <si>
    <t>W(Node5)</t>
  </si>
  <si>
    <t>Predicted Y1</t>
  </si>
  <si>
    <t>Actual Y1</t>
  </si>
  <si>
    <t>Square Error</t>
  </si>
  <si>
    <t>SSE</t>
  </si>
  <si>
    <t>Number Of Rooms(X1)</t>
  </si>
  <si>
    <t>Number Of Residents(X2)</t>
  </si>
  <si>
    <t>Average Temp(X3)</t>
  </si>
  <si>
    <t>Energy Consumption(Y1)-Actual</t>
  </si>
  <si>
    <t>Predicted</t>
  </si>
  <si>
    <t>Actual</t>
  </si>
  <si>
    <t>Validation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</si>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</sst>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2" fillId="0" borderId="4" xfId="1" applyFont="1" applyBorder="1" applyAlignment="1">
      <alignment horizontal="center"/>
    </xf>
    <xf numFmtId="0" fontId="1" fillId="0" borderId="0" xfId="1"/>
    <xf numFmtId="164" fontId="2" fillId="0" borderId="4" xfId="1" applyNumberFormat="1" applyFont="1" applyBorder="1" applyAlignment="1">
      <alignment horizontal="center"/>
    </xf>
    <xf numFmtId="0" fontId="3" fillId="0" borderId="4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4" fillId="0" borderId="2" xfId="1" applyFont="1" applyBorder="1"/>
    <xf numFmtId="0" fontId="4" fillId="0" borderId="3" xfId="1" applyFont="1" applyBorder="1"/>
    <xf numFmtId="0" fontId="3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4" fillId="0" borderId="6" xfId="1" applyFont="1" applyBorder="1"/>
    <xf numFmtId="0" fontId="4" fillId="0" borderId="7" xfId="1" applyFont="1" applyBorder="1"/>
  </cellXfs>
  <cellStyles count="2">
    <cellStyle name="Normal" xfId="0" builtinId="0"/>
    <cellStyle name="Normal 2" xfId="1" xr:uid="{EEB423D2-4664-4352-AEA3-A59EC3FB1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090332458442689E-2"/>
          <c:y val="0.19721055701370663"/>
          <c:w val="0.86542366579177599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Sheet3!$N$2:$N$17</c:f>
              <c:numCache>
                <c:formatCode>0.0000</c:formatCode>
                <c:ptCount val="16"/>
                <c:pt idx="0">
                  <c:v>-0.64844411161669413</c:v>
                </c:pt>
                <c:pt idx="1">
                  <c:v>-0.35143399446652479</c:v>
                </c:pt>
                <c:pt idx="2">
                  <c:v>0.6611489749824</c:v>
                </c:pt>
                <c:pt idx="3">
                  <c:v>-1.3508382232845868</c:v>
                </c:pt>
                <c:pt idx="4">
                  <c:v>1.3511000407581033</c:v>
                </c:pt>
                <c:pt idx="5">
                  <c:v>-0.78414912570470741</c:v>
                </c:pt>
                <c:pt idx="6">
                  <c:v>0.27676708776961578</c:v>
                </c:pt>
                <c:pt idx="7">
                  <c:v>0.47239783744885799</c:v>
                </c:pt>
                <c:pt idx="8">
                  <c:v>-1.2707585677801536</c:v>
                </c:pt>
                <c:pt idx="9">
                  <c:v>1.3820329012339534</c:v>
                </c:pt>
                <c:pt idx="10">
                  <c:v>-0.14611390687015713</c:v>
                </c:pt>
                <c:pt idx="11">
                  <c:v>-0.72827059049199672</c:v>
                </c:pt>
                <c:pt idx="12">
                  <c:v>0.75451302208731574</c:v>
                </c:pt>
                <c:pt idx="13">
                  <c:v>-1.3510267118437074</c:v>
                </c:pt>
                <c:pt idx="14">
                  <c:v>1.6867222022017079</c:v>
                </c:pt>
                <c:pt idx="15">
                  <c:v>-0.65298246878108313</c:v>
                </c:pt>
              </c:numCache>
            </c:numRef>
          </c:xVal>
          <c:yVal>
            <c:numRef>
              <c:f>Sheet3!$O$2:$O$17</c:f>
              <c:numCache>
                <c:formatCode>General</c:formatCode>
                <c:ptCount val="16"/>
                <c:pt idx="0">
                  <c:v>-0.72870418709942353</c:v>
                </c:pt>
                <c:pt idx="1">
                  <c:v>-0.13626175856330683</c:v>
                </c:pt>
                <c:pt idx="2">
                  <c:v>0.75240188424086818</c:v>
                </c:pt>
                <c:pt idx="3">
                  <c:v>-1.3211466156355403</c:v>
                </c:pt>
                <c:pt idx="4">
                  <c:v>1.3448443127769849</c:v>
                </c:pt>
                <c:pt idx="5">
                  <c:v>-0.84719267280664678</c:v>
                </c:pt>
                <c:pt idx="6">
                  <c:v>4.1470969997528168E-2</c:v>
                </c:pt>
                <c:pt idx="7">
                  <c:v>0.45618066997280982</c:v>
                </c:pt>
                <c:pt idx="8">
                  <c:v>-1.2619023727819285</c:v>
                </c:pt>
                <c:pt idx="9">
                  <c:v>1.5225770413378199</c:v>
                </c:pt>
                <c:pt idx="10">
                  <c:v>-0.19550600141691851</c:v>
                </c:pt>
                <c:pt idx="11">
                  <c:v>-0.66945994424581179</c:v>
                </c:pt>
                <c:pt idx="12">
                  <c:v>0.69315764138725655</c:v>
                </c:pt>
                <c:pt idx="13">
                  <c:v>-1.3803908584891518</c:v>
                </c:pt>
                <c:pt idx="14">
                  <c:v>1.6410655270450432</c:v>
                </c:pt>
                <c:pt idx="15">
                  <c:v>-0.61021570139220016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C-45EE-AEB7-46913645C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700896"/>
        <c:axId val="661699456"/>
      </c:scatterChart>
      <c:valAx>
        <c:axId val="66170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99456"/>
        <c:crosses val="autoZero"/>
        <c:crossBetween val="midCat"/>
      </c:valAx>
      <c:valAx>
        <c:axId val="66169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0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0903324584427E-2"/>
          <c:y val="0.19721055701370663"/>
          <c:w val="0.9129096675415573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Sheet4!$P$2:$P$5</c:f>
              <c:numCache>
                <c:formatCode>General</c:formatCode>
                <c:ptCount val="4"/>
                <c:pt idx="0">
                  <c:v>0.13672101711224616</c:v>
                </c:pt>
                <c:pt idx="1">
                  <c:v>0.43934250491103599</c:v>
                </c:pt>
                <c:pt idx="2">
                  <c:v>-1.3518277882199694</c:v>
                </c:pt>
                <c:pt idx="3">
                  <c:v>1.4284321919477092</c:v>
                </c:pt>
              </c:numCache>
            </c:numRef>
          </c:xVal>
          <c:yVal>
            <c:numRef>
              <c:f>Sheet4!$Q$2:$Q$5</c:f>
              <c:numCache>
                <c:formatCode>General</c:formatCode>
                <c:ptCount val="4"/>
                <c:pt idx="0">
                  <c:v>0.10071521285113984</c:v>
                </c:pt>
                <c:pt idx="1">
                  <c:v>0.57466915568003318</c:v>
                </c:pt>
                <c:pt idx="2">
                  <c:v>-1.4396351013427635</c:v>
                </c:pt>
                <c:pt idx="3">
                  <c:v>1.4633327984842082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E-4597-AB1E-8D7E41B66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708096"/>
        <c:axId val="661693216"/>
      </c:scatterChart>
      <c:valAx>
        <c:axId val="6617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93216"/>
        <c:crosses val="autoZero"/>
        <c:crossBetween val="midCat"/>
      </c:valAx>
      <c:valAx>
        <c:axId val="6616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0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193675</xdr:colOff>
      <xdr:row>5</xdr:row>
      <xdr:rowOff>6350</xdr:rowOff>
    </xdr:from>
    <xdr:to>
      <xdr:col>17</xdr:col>
      <xdr:colOff>257175</xdr:colOff>
      <xdr:row>18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9E81F8-8C7C-9D4F-D53F-393626646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555625</xdr:colOff>
      <xdr:row>7</xdr:row>
      <xdr:rowOff>101600</xdr:rowOff>
    </xdr:from>
    <xdr:to>
      <xdr:col>16</xdr:col>
      <xdr:colOff>250825</xdr:colOff>
      <xdr:row>22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1ABB9F-6108-D40B-B406-6347A6B81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3BDF-DA2A-4164-8C03-C7F0EDECE51F}">
  <dimension ref="A1:I22"/>
  <sheetViews>
    <sheetView tabSelected="1" topLeftCell="A2" workbookViewId="0">
      <selection activeCell="E18" sqref="E18"/>
    </sheetView>
  </sheetViews>
  <sheetFormatPr defaultRowHeight="14.5" x14ac:dyDescent="0.35"/>
  <cols>
    <col min="1" max="1" width="30.08984375" customWidth="1"/>
    <col min="2" max="2" width="24" customWidth="1"/>
    <col min="3" max="3" width="21.08984375" customWidth="1"/>
    <col min="4" max="4" width="30.36328125" bestFit="1" customWidth="1"/>
    <col min="5" max="5" width="23" customWidth="1"/>
    <col min="6" max="6" width="26.7265625" customWidth="1"/>
    <col min="7" max="7" width="23.1796875" customWidth="1"/>
    <col min="8" max="8" width="22.54296875" customWidth="1"/>
    <col min="9" max="9" width="29.7265625" customWidth="1"/>
  </cols>
  <sheetData>
    <row r="1" spans="1:9" ht="15.5" x14ac:dyDescent="0.35">
      <c r="A1" s="7" t="s">
        <v>0</v>
      </c>
      <c r="B1" s="8"/>
      <c r="C1" s="9"/>
      <c r="D1" s="1" t="s">
        <v>1</v>
      </c>
      <c r="E1" s="4"/>
      <c r="F1" s="4"/>
      <c r="G1" s="4"/>
      <c r="H1" s="4"/>
      <c r="I1" s="4"/>
    </row>
    <row r="2" spans="1:9" ht="15.5" x14ac:dyDescent="0.35">
      <c r="A2" s="2" t="s">
        <v>2</v>
      </c>
      <c r="B2" s="2" t="s">
        <v>3</v>
      </c>
      <c r="C2" s="2" t="s">
        <v>4</v>
      </c>
      <c r="D2" s="2" t="s">
        <v>5</v>
      </c>
      <c r="E2" s="4"/>
      <c r="F2" s="1" t="s">
        <v>8</v>
      </c>
      <c r="G2" s="1" t="s">
        <v>3</v>
      </c>
      <c r="H2" s="1" t="s">
        <v>4</v>
      </c>
      <c r="I2" s="2" t="s">
        <v>5</v>
      </c>
    </row>
    <row r="3" spans="1:9" ht="15.5" x14ac:dyDescent="0.35">
      <c r="A3" s="3">
        <v>3</v>
      </c>
      <c r="B3" s="3">
        <v>2</v>
      </c>
      <c r="C3" s="3">
        <v>22.5</v>
      </c>
      <c r="D3" s="3">
        <v>300</v>
      </c>
      <c r="E3" s="1" t="s">
        <v>6</v>
      </c>
      <c r="F3" s="3">
        <v>4</v>
      </c>
      <c r="G3" s="3">
        <f>AVERAGE(B3:B22)</f>
        <v>3.15</v>
      </c>
      <c r="H3" s="3">
        <f>AVERAGE(C3:C22)</f>
        <v>21.655000000000001</v>
      </c>
      <c r="I3" s="3">
        <f>AVERAGE(D3:D22)</f>
        <v>423</v>
      </c>
    </row>
    <row r="4" spans="1:9" ht="15.5" x14ac:dyDescent="0.35">
      <c r="A4" s="3">
        <v>4</v>
      </c>
      <c r="B4" s="3">
        <v>3</v>
      </c>
      <c r="C4" s="3">
        <v>21</v>
      </c>
      <c r="D4" s="3">
        <v>400</v>
      </c>
      <c r="E4" s="1" t="s">
        <v>7</v>
      </c>
      <c r="F4" s="3">
        <f>_xlfn.STDEV.P(A3:A22)</f>
        <v>1.4142135623730951</v>
      </c>
      <c r="G4" s="3">
        <v>1.423903087</v>
      </c>
      <c r="H4" s="3">
        <v>3.1007216899999999</v>
      </c>
      <c r="I4" s="3">
        <v>168.79277239999999</v>
      </c>
    </row>
    <row r="5" spans="1:9" ht="15.5" x14ac:dyDescent="0.35">
      <c r="A5" s="3">
        <v>5</v>
      </c>
      <c r="B5" s="3">
        <v>4</v>
      </c>
      <c r="C5" s="3">
        <v>19.8</v>
      </c>
      <c r="D5" s="3">
        <v>550</v>
      </c>
    </row>
    <row r="6" spans="1:9" ht="15.5" x14ac:dyDescent="0.35">
      <c r="A6" s="3">
        <v>2</v>
      </c>
      <c r="B6" s="3">
        <v>1</v>
      </c>
      <c r="C6" s="3">
        <v>25.1</v>
      </c>
      <c r="D6" s="3">
        <v>200</v>
      </c>
    </row>
    <row r="7" spans="1:9" ht="15.5" x14ac:dyDescent="0.35">
      <c r="A7" s="3">
        <v>6</v>
      </c>
      <c r="B7" s="3">
        <v>5</v>
      </c>
      <c r="C7" s="3">
        <v>18.3</v>
      </c>
      <c r="D7" s="3">
        <v>650</v>
      </c>
    </row>
    <row r="8" spans="1:9" ht="15.5" x14ac:dyDescent="0.35">
      <c r="A8" s="3">
        <v>3</v>
      </c>
      <c r="B8" s="3">
        <v>2</v>
      </c>
      <c r="C8" s="3">
        <v>24.2</v>
      </c>
      <c r="D8" s="3">
        <v>280</v>
      </c>
    </row>
    <row r="9" spans="1:9" ht="15.5" x14ac:dyDescent="0.35">
      <c r="A9" s="3">
        <v>4</v>
      </c>
      <c r="B9" s="3">
        <v>4</v>
      </c>
      <c r="C9" s="3">
        <v>20.100000000000001</v>
      </c>
      <c r="D9" s="3">
        <v>430</v>
      </c>
    </row>
    <row r="10" spans="1:9" ht="15.5" x14ac:dyDescent="0.35">
      <c r="A10" s="3">
        <v>5</v>
      </c>
      <c r="B10" s="3">
        <v>3</v>
      </c>
      <c r="C10" s="3">
        <v>19.600000000000001</v>
      </c>
      <c r="D10" s="3">
        <v>500</v>
      </c>
    </row>
    <row r="11" spans="1:9" ht="15.5" x14ac:dyDescent="0.35">
      <c r="A11" s="3">
        <v>2</v>
      </c>
      <c r="B11" s="3">
        <v>2</v>
      </c>
      <c r="C11" s="3">
        <v>26.3</v>
      </c>
      <c r="D11" s="3">
        <v>210</v>
      </c>
    </row>
    <row r="12" spans="1:9" ht="15.5" x14ac:dyDescent="0.35">
      <c r="A12" s="3">
        <v>6</v>
      </c>
      <c r="B12" s="3">
        <v>5</v>
      </c>
      <c r="C12" s="3">
        <v>17.899999999999999</v>
      </c>
      <c r="D12" s="3">
        <v>680</v>
      </c>
    </row>
    <row r="13" spans="1:9" ht="15.5" x14ac:dyDescent="0.35">
      <c r="A13" s="3">
        <v>4</v>
      </c>
      <c r="B13" s="3">
        <v>3</v>
      </c>
      <c r="C13" s="3">
        <v>22.8</v>
      </c>
      <c r="D13" s="3">
        <v>390</v>
      </c>
    </row>
    <row r="14" spans="1:9" ht="15.5" x14ac:dyDescent="0.35">
      <c r="A14" s="3">
        <v>3</v>
      </c>
      <c r="B14" s="3">
        <v>2</v>
      </c>
      <c r="C14" s="3">
        <v>23.5</v>
      </c>
      <c r="D14" s="3">
        <v>310</v>
      </c>
    </row>
    <row r="15" spans="1:9" ht="15.5" x14ac:dyDescent="0.35">
      <c r="A15" s="3">
        <v>5</v>
      </c>
      <c r="B15" s="3">
        <v>4</v>
      </c>
      <c r="C15" s="3">
        <v>18.600000000000001</v>
      </c>
      <c r="D15" s="3">
        <v>540</v>
      </c>
    </row>
    <row r="16" spans="1:9" ht="15.5" x14ac:dyDescent="0.35">
      <c r="A16" s="3">
        <v>2</v>
      </c>
      <c r="B16" s="3">
        <v>1</v>
      </c>
      <c r="C16" s="3">
        <v>25.5</v>
      </c>
      <c r="D16" s="3">
        <v>190</v>
      </c>
    </row>
    <row r="17" spans="1:5" ht="15.5" x14ac:dyDescent="0.35">
      <c r="A17" s="3">
        <v>6</v>
      </c>
      <c r="B17" s="3">
        <v>6</v>
      </c>
      <c r="C17" s="3">
        <v>16.7</v>
      </c>
      <c r="D17" s="3">
        <v>700</v>
      </c>
    </row>
    <row r="18" spans="1:5" ht="15.5" x14ac:dyDescent="0.35">
      <c r="A18" s="3">
        <v>3</v>
      </c>
      <c r="B18" s="3">
        <v>3</v>
      </c>
      <c r="C18" s="3">
        <v>24.8</v>
      </c>
      <c r="D18" s="3">
        <v>320</v>
      </c>
    </row>
    <row r="19" spans="1:5" ht="15.5" x14ac:dyDescent="0.35">
      <c r="A19" s="3">
        <v>4</v>
      </c>
      <c r="B19" s="3">
        <v>4</v>
      </c>
      <c r="C19" s="3">
        <v>21.9</v>
      </c>
      <c r="D19" s="3">
        <v>440</v>
      </c>
      <c r="E19" t="s">
        <v>12</v>
      </c>
    </row>
    <row r="20" spans="1:5" ht="15.5" x14ac:dyDescent="0.35">
      <c r="A20" s="3">
        <v>5</v>
      </c>
      <c r="B20" s="3">
        <v>3</v>
      </c>
      <c r="C20" s="3">
        <v>20</v>
      </c>
      <c r="D20" s="3">
        <v>520</v>
      </c>
      <c r="E20" t="s">
        <v>12</v>
      </c>
    </row>
    <row r="21" spans="1:5" ht="15.5" x14ac:dyDescent="0.35">
      <c r="A21" s="3">
        <v>2</v>
      </c>
      <c r="B21" s="3">
        <v>1</v>
      </c>
      <c r="C21" s="3">
        <v>27.2</v>
      </c>
      <c r="D21" s="3">
        <v>180</v>
      </c>
      <c r="E21" t="s">
        <v>12</v>
      </c>
    </row>
    <row r="22" spans="1:5" ht="15.5" x14ac:dyDescent="0.35">
      <c r="A22" s="3">
        <v>6</v>
      </c>
      <c r="B22" s="3">
        <v>5</v>
      </c>
      <c r="C22" s="3">
        <v>17.3</v>
      </c>
      <c r="D22" s="3">
        <v>670</v>
      </c>
      <c r="E22" t="s">
        <v>12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56E1-1AB6-49D3-BB7F-840E2AA0A03F}">
  <dimension ref="A2:E22"/>
  <sheetViews>
    <sheetView topLeftCell="A2" workbookViewId="0">
      <selection activeCell="A3" sqref="A3"/>
    </sheetView>
  </sheetViews>
  <sheetFormatPr defaultRowHeight="14.5" x14ac:dyDescent="0.35"/>
  <cols>
    <col min="1" max="1" width="16.08984375" customWidth="1"/>
    <col min="2" max="2" width="17.7265625" customWidth="1"/>
    <col min="3" max="3" width="14.1796875" customWidth="1"/>
    <col min="4" max="4" width="18.90625" customWidth="1"/>
    <col min="5" max="5" width="12.7265625" customWidth="1"/>
  </cols>
  <sheetData>
    <row r="2" spans="1:4" x14ac:dyDescent="0.35">
      <c r="A2" t="s">
        <v>2</v>
      </c>
      <c r="B2" t="s">
        <v>9</v>
      </c>
      <c r="C2" t="s">
        <v>10</v>
      </c>
      <c r="D2" t="s">
        <v>11</v>
      </c>
    </row>
    <row r="3" spans="1:4" x14ac:dyDescent="0.35">
      <c r="A3">
        <f>(Sheet1!A3-Sheet1!F$3)/Sheet1!F$4</f>
        <v>-0.70710678118654746</v>
      </c>
      <c r="B3">
        <f>(Sheet1!B3-Sheet1!G$3)/Sheet1!G$4</f>
        <v>-0.80763923507105928</v>
      </c>
      <c r="C3">
        <f>(Sheet1!C3-Sheet1!H$3)/Sheet1!H$4</f>
        <v>0.27251720227751203</v>
      </c>
      <c r="D3">
        <f>(Sheet1!D3-Sheet1!I$3)/Sheet1!I$4</f>
        <v>-0.72870418709942353</v>
      </c>
    </row>
    <row r="4" spans="1:4" x14ac:dyDescent="0.35">
      <c r="A4">
        <f>A3</f>
        <v>-0.70710678118654746</v>
      </c>
      <c r="B4">
        <f>(Sheet1!B4-Sheet1!G$3)/Sheet1!G$4</f>
        <v>-0.10534424805274681</v>
      </c>
      <c r="C4">
        <f>(Sheet1!C4-Sheet1!H$3)/Sheet1!H$4</f>
        <v>-0.21124114496067564</v>
      </c>
      <c r="D4">
        <f>(Sheet1!D4-Sheet1!I$3)/Sheet1!I$4</f>
        <v>-0.13626175856330683</v>
      </c>
    </row>
    <row r="5" spans="1:4" x14ac:dyDescent="0.35">
      <c r="A5">
        <f>(Sheet1!A5-Sheet1!F$3)/Sheet1!F$4</f>
        <v>0.70710678118654746</v>
      </c>
      <c r="B5">
        <f>(Sheet1!B5-Sheet1!G$3)/Sheet1!G$4</f>
        <v>0.59695073896556561</v>
      </c>
      <c r="C5">
        <f>(Sheet1!C5-Sheet1!H$3)/Sheet1!H$4</f>
        <v>-0.59824782275122557</v>
      </c>
      <c r="D5">
        <f>(Sheet1!D5-Sheet1!I$3)/Sheet1!I$4</f>
        <v>0.75240188424086818</v>
      </c>
    </row>
    <row r="6" spans="1:4" x14ac:dyDescent="0.35">
      <c r="A6">
        <f>(Sheet1!A6-Sheet1!F$3)/Sheet1!F$4</f>
        <v>-1.4142135623730949</v>
      </c>
      <c r="B6">
        <f>(Sheet1!B6-Sheet1!G$3)/Sheet1!G$4</f>
        <v>-1.5099342220893717</v>
      </c>
      <c r="C6">
        <f>(Sheet1!C6-Sheet1!H$3)/Sheet1!H$4</f>
        <v>1.1110316708237045</v>
      </c>
      <c r="D6">
        <f>(Sheet1!D6-Sheet1!I$3)/Sheet1!I$4</f>
        <v>-1.3211466156355403</v>
      </c>
    </row>
    <row r="7" spans="1:4" x14ac:dyDescent="0.35">
      <c r="A7">
        <f>(Sheet1!A7-Sheet1!F$3)/Sheet1!F$4</f>
        <v>1.4142135623730949</v>
      </c>
      <c r="B7">
        <f>(Sheet1!B7-Sheet1!G$3)/Sheet1!G$4</f>
        <v>1.2992457259838781</v>
      </c>
      <c r="C7">
        <f>(Sheet1!C7-Sheet1!H$3)/Sheet1!H$4</f>
        <v>-1.0820061699894132</v>
      </c>
      <c r="D7">
        <f>(Sheet1!D7-Sheet1!I$3)/Sheet1!I$4</f>
        <v>1.3448443127769849</v>
      </c>
    </row>
    <row r="8" spans="1:4" x14ac:dyDescent="0.35">
      <c r="A8">
        <f>(Sheet1!A8-Sheet1!F$3)/Sheet1!F$4</f>
        <v>-0.70710678118654746</v>
      </c>
      <c r="B8">
        <f>(Sheet1!B8-Sheet1!G$3)/Sheet1!G$4</f>
        <v>-0.80763923507105928</v>
      </c>
      <c r="C8">
        <f>(Sheet1!C8-Sheet1!H$3)/Sheet1!H$4</f>
        <v>0.82077666248079117</v>
      </c>
      <c r="D8">
        <f>(Sheet1!D8-Sheet1!I$3)/Sheet1!I$4</f>
        <v>-0.84719267280664678</v>
      </c>
    </row>
    <row r="9" spans="1:4" x14ac:dyDescent="0.35">
      <c r="A9">
        <f>(Sheet1!A9-Sheet1!F$3)/Sheet1!F$4</f>
        <v>0</v>
      </c>
      <c r="B9">
        <f>(Sheet1!B9-Sheet1!G$3)/Sheet1!G$4</f>
        <v>0.59695073896556561</v>
      </c>
      <c r="C9">
        <f>(Sheet1!C9-Sheet1!H$3)/Sheet1!H$4</f>
        <v>-0.50149615330358777</v>
      </c>
      <c r="D9">
        <f>(Sheet1!D9-Sheet1!I$3)/Sheet1!I$4</f>
        <v>4.1470969997528168E-2</v>
      </c>
    </row>
    <row r="10" spans="1:4" x14ac:dyDescent="0.35">
      <c r="A10">
        <f>(Sheet1!A10-Sheet1!F$3)/Sheet1!F$4</f>
        <v>0.70710678118654746</v>
      </c>
      <c r="B10">
        <f>(Sheet1!B10-Sheet1!G$3)/Sheet1!G$4</f>
        <v>-0.10534424805274681</v>
      </c>
      <c r="C10">
        <f>(Sheet1!C10-Sheet1!H$3)/Sheet1!H$4</f>
        <v>-0.66274893571631699</v>
      </c>
      <c r="D10">
        <f>(Sheet1!D10-Sheet1!I$3)/Sheet1!I$4</f>
        <v>0.45618066997280982</v>
      </c>
    </row>
    <row r="11" spans="1:4" x14ac:dyDescent="0.35">
      <c r="A11">
        <f>(Sheet1!A11-Sheet1!F$3)/Sheet1!F$4</f>
        <v>-1.4142135623730949</v>
      </c>
      <c r="B11">
        <f>(Sheet1!B11-Sheet1!G$3)/Sheet1!G$4</f>
        <v>-0.80763923507105928</v>
      </c>
      <c r="C11">
        <f>(Sheet1!C11-Sheet1!H$3)/Sheet1!H$4</f>
        <v>1.4980383486142543</v>
      </c>
      <c r="D11">
        <f>(Sheet1!D11-Sheet1!I$3)/Sheet1!I$4</f>
        <v>-1.2619023727819285</v>
      </c>
    </row>
    <row r="12" spans="1:4" x14ac:dyDescent="0.35">
      <c r="A12">
        <f>(Sheet1!A12-Sheet1!F$3)/Sheet1!F$4</f>
        <v>1.4142135623730949</v>
      </c>
      <c r="B12">
        <f>(Sheet1!B12-Sheet1!G$3)/Sheet1!G$4</f>
        <v>1.2992457259838781</v>
      </c>
      <c r="C12">
        <f>(Sheet1!C12-Sheet1!H$3)/Sheet1!H$4</f>
        <v>-1.2110083959195972</v>
      </c>
      <c r="D12">
        <f>(Sheet1!D12-Sheet1!I$3)/Sheet1!I$4</f>
        <v>1.5225770413378199</v>
      </c>
    </row>
    <row r="13" spans="1:4" x14ac:dyDescent="0.35">
      <c r="A13">
        <f>(Sheet1!A13-Sheet1!F$3)/Sheet1!F$4</f>
        <v>0</v>
      </c>
      <c r="B13">
        <f>(Sheet1!B13-Sheet1!G$3)/Sheet1!G$4</f>
        <v>-0.10534424805274681</v>
      </c>
      <c r="C13">
        <f>(Sheet1!C13-Sheet1!H$3)/Sheet1!H$4</f>
        <v>0.36926887172514977</v>
      </c>
      <c r="D13">
        <f>(Sheet1!D13-Sheet1!I$3)/Sheet1!I$4</f>
        <v>-0.19550600141691851</v>
      </c>
    </row>
    <row r="14" spans="1:4" x14ac:dyDescent="0.35">
      <c r="A14">
        <f>(Sheet1!A14-Sheet1!F$3)/Sheet1!F$4</f>
        <v>-0.70710678118654746</v>
      </c>
      <c r="B14">
        <f>(Sheet1!B14-Sheet1!G$3)/Sheet1!G$4</f>
        <v>-0.80763923507105928</v>
      </c>
      <c r="C14">
        <f>(Sheet1!C14-Sheet1!H$3)/Sheet1!H$4</f>
        <v>0.59502276710297042</v>
      </c>
      <c r="D14">
        <f>(Sheet1!D14-Sheet1!I$3)/Sheet1!I$4</f>
        <v>-0.66945994424581179</v>
      </c>
    </row>
    <row r="15" spans="1:4" x14ac:dyDescent="0.35">
      <c r="A15">
        <f>(Sheet1!A15-Sheet1!F$3)/Sheet1!F$4</f>
        <v>0.70710678118654746</v>
      </c>
      <c r="B15">
        <f>(Sheet1!B15-Sheet1!G$3)/Sheet1!G$4</f>
        <v>0.59695073896556561</v>
      </c>
      <c r="C15">
        <f>(Sheet1!C15-Sheet1!H$3)/Sheet1!H$4</f>
        <v>-0.98525450054177544</v>
      </c>
      <c r="D15">
        <f>(Sheet1!D15-Sheet1!I$3)/Sheet1!I$4</f>
        <v>0.69315764138725655</v>
      </c>
    </row>
    <row r="16" spans="1:4" x14ac:dyDescent="0.35">
      <c r="A16">
        <f>(Sheet1!A16-Sheet1!F$3)/Sheet1!F$4</f>
        <v>-1.4142135623730949</v>
      </c>
      <c r="B16">
        <f>(Sheet1!B16-Sheet1!G$3)/Sheet1!G$4</f>
        <v>-1.5099342220893717</v>
      </c>
      <c r="C16">
        <f>(Sheet1!C16-Sheet1!H$3)/Sheet1!H$4</f>
        <v>1.2400338967538873</v>
      </c>
      <c r="D16">
        <f>(Sheet1!D16-Sheet1!I$3)/Sheet1!I$4</f>
        <v>-1.3803908584891518</v>
      </c>
    </row>
    <row r="17" spans="1:5" x14ac:dyDescent="0.35">
      <c r="A17">
        <f>(Sheet1!A17-Sheet1!F$3)/Sheet1!F$4</f>
        <v>1.4142135623730949</v>
      </c>
      <c r="B17">
        <f>(Sheet1!B17-Sheet1!G$3)/Sheet1!G$4</f>
        <v>2.0015407130021905</v>
      </c>
      <c r="C17">
        <f>(Sheet1!C17-Sheet1!H$3)/Sheet1!H$4</f>
        <v>-1.5980150737101471</v>
      </c>
      <c r="D17">
        <f>(Sheet1!D17-Sheet1!I$3)/Sheet1!I$4</f>
        <v>1.6410655270450432</v>
      </c>
    </row>
    <row r="18" spans="1:5" x14ac:dyDescent="0.35">
      <c r="A18">
        <f>(Sheet1!A18-Sheet1!F$3)/Sheet1!F$4</f>
        <v>-0.70710678118654746</v>
      </c>
      <c r="B18">
        <f>(Sheet1!B18-Sheet1!G$3)/Sheet1!G$4</f>
        <v>-0.10534424805274681</v>
      </c>
      <c r="C18">
        <f>(Sheet1!C18-Sheet1!H$3)/Sheet1!H$4</f>
        <v>1.0142800013760667</v>
      </c>
      <c r="D18">
        <f>(Sheet1!D18-Sheet1!I$3)/Sheet1!I$4</f>
        <v>-0.61021570139220016</v>
      </c>
    </row>
    <row r="19" spans="1:5" x14ac:dyDescent="0.35">
      <c r="A19">
        <f>(Sheet1!A19-Sheet1!F$3)/Sheet1!F$4</f>
        <v>0</v>
      </c>
      <c r="B19">
        <f>(Sheet1!B19-Sheet1!G$3)/Sheet1!G$4</f>
        <v>0.59695073896556561</v>
      </c>
      <c r="C19">
        <f>(Sheet1!C19-Sheet1!H$3)/Sheet1!H$4</f>
        <v>7.9013863382236496E-2</v>
      </c>
      <c r="D19">
        <f>(Sheet1!D19-Sheet1!I$3)/Sheet1!I$4</f>
        <v>0.10071521285113984</v>
      </c>
      <c r="E19" t="s">
        <v>12</v>
      </c>
    </row>
    <row r="20" spans="1:5" x14ac:dyDescent="0.35">
      <c r="A20">
        <f>(Sheet1!A20-Sheet1!F$3)/Sheet1!F$4</f>
        <v>0.70710678118654746</v>
      </c>
      <c r="B20">
        <f>(Sheet1!B20-Sheet1!G$3)/Sheet1!G$4</f>
        <v>-0.10534424805274681</v>
      </c>
      <c r="C20">
        <f>(Sheet1!C20-Sheet1!H$3)/Sheet1!H$4</f>
        <v>-0.53374670978613403</v>
      </c>
      <c r="D20">
        <f>(Sheet1!D20-Sheet1!I$3)/Sheet1!I$4</f>
        <v>0.57466915568003318</v>
      </c>
      <c r="E20" t="s">
        <v>12</v>
      </c>
    </row>
    <row r="21" spans="1:5" x14ac:dyDescent="0.35">
      <c r="A21">
        <f>(Sheet1!A21-Sheet1!F$3)/Sheet1!F$4</f>
        <v>-1.4142135623730949</v>
      </c>
      <c r="B21">
        <f>(Sheet1!B21-Sheet1!G$3)/Sheet1!G$4</f>
        <v>-1.5099342220893717</v>
      </c>
      <c r="C21">
        <f>(Sheet1!C21-Sheet1!H$3)/Sheet1!H$4</f>
        <v>1.7882933569571664</v>
      </c>
      <c r="D21">
        <f>(Sheet1!D21-Sheet1!I$3)/Sheet1!I$4</f>
        <v>-1.4396351013427635</v>
      </c>
      <c r="E21" t="s">
        <v>12</v>
      </c>
    </row>
    <row r="22" spans="1:5" x14ac:dyDescent="0.35">
      <c r="A22">
        <f>(Sheet1!A22-Sheet1!F$3)/Sheet1!F$4</f>
        <v>1.4142135623730949</v>
      </c>
      <c r="B22">
        <f>(Sheet1!B22-Sheet1!G$3)/Sheet1!G$4</f>
        <v>1.2992457259838781</v>
      </c>
      <c r="C22">
        <f>(Sheet1!C22-Sheet1!H$3)/Sheet1!H$4</f>
        <v>-1.4045117348148717</v>
      </c>
      <c r="D22">
        <f>(Sheet1!D22-Sheet1!I$3)/Sheet1!I$4</f>
        <v>1.4633327984842082</v>
      </c>
      <c r="E2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2FC1-022E-47C8-9B07-069FA9071EE4}">
  <dimension ref="A1:S26"/>
  <sheetViews>
    <sheetView topLeftCell="I1" workbookViewId="0">
      <selection activeCell="K23" sqref="K23"/>
    </sheetView>
  </sheetViews>
  <sheetFormatPr defaultRowHeight="14.5" x14ac:dyDescent="0.35"/>
  <cols>
    <col min="1" max="1" width="14.7265625" customWidth="1"/>
    <col min="2" max="2" width="15.453125" customWidth="1"/>
    <col min="3" max="3" width="12.08984375" customWidth="1"/>
    <col min="4" max="4" width="12.6328125" customWidth="1"/>
    <col min="5" max="5" width="13.08984375" customWidth="1"/>
    <col min="7" max="7" width="8.54296875" customWidth="1"/>
    <col min="8" max="8" width="13.54296875" customWidth="1"/>
    <col min="9" max="9" width="13.26953125" customWidth="1"/>
    <col min="10" max="10" width="12.6328125" customWidth="1"/>
    <col min="11" max="11" width="13.36328125" customWidth="1"/>
    <col min="12" max="12" width="13" customWidth="1"/>
    <col min="14" max="14" width="17.08984375" customWidth="1"/>
    <col min="15" max="15" width="14.6328125" customWidth="1"/>
    <col min="16" max="16" width="15.36328125" customWidth="1"/>
  </cols>
  <sheetData>
    <row r="1" spans="1:19" ht="15.5" x14ac:dyDescent="0.35">
      <c r="A1" s="10" t="s">
        <v>15</v>
      </c>
      <c r="B1" s="8"/>
      <c r="C1" s="8"/>
      <c r="D1" s="8"/>
      <c r="E1" s="9"/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N1" s="1" t="s">
        <v>34</v>
      </c>
      <c r="O1" s="1" t="s">
        <v>35</v>
      </c>
      <c r="P1" s="1" t="s">
        <v>36</v>
      </c>
      <c r="Q1" s="4"/>
      <c r="S1" s="1" t="s">
        <v>37</v>
      </c>
    </row>
    <row r="2" spans="1:19" ht="15.5" x14ac:dyDescent="0.35">
      <c r="A2" s="1"/>
      <c r="B2" s="1" t="s">
        <v>16</v>
      </c>
      <c r="C2" s="1" t="s">
        <v>17</v>
      </c>
      <c r="D2" s="1" t="s">
        <v>18</v>
      </c>
      <c r="E2" s="1" t="s">
        <v>13</v>
      </c>
      <c r="H2" s="5"/>
      <c r="I2" s="5"/>
      <c r="J2" s="5"/>
      <c r="K2" s="5"/>
      <c r="L2" s="5"/>
      <c r="N2" s="5">
        <f>SUMPRODUCT($A$12:$E$12,H3:L3)+$F$12</f>
        <v>-0.64844411161669413</v>
      </c>
      <c r="O2">
        <f>Sheet2!D3</f>
        <v>-0.72870418709942353</v>
      </c>
      <c r="P2" s="5">
        <f t="shared" ref="P2:P17" si="0">(N2-O2)^2</f>
        <v>6.4416797164934207E-3</v>
      </c>
      <c r="Q2" s="4"/>
      <c r="S2" s="5">
        <f>SUM(P2:P17)</f>
        <v>0.15585996120764553</v>
      </c>
    </row>
    <row r="3" spans="1:19" ht="15.5" x14ac:dyDescent="0.35">
      <c r="A3" s="1" t="s">
        <v>19</v>
      </c>
      <c r="B3" s="5">
        <v>2.0117340854613399</v>
      </c>
      <c r="C3" s="5">
        <v>1.866056616480672</v>
      </c>
      <c r="D3" s="5">
        <v>0.98692963890111174</v>
      </c>
      <c r="E3" s="5">
        <v>3.2479923116641456</v>
      </c>
      <c r="H3" s="5">
        <f>IF(SUMPRODUCT($B$3:$D$3,Sheet2!A3:C3)+Sheet3!$E$3&lt;0,0,SUMPRODUCT($B$3:$D$3,Sheet2!A3:C3)+Sheet3!$E$3)</f>
        <v>0.58733626359466173</v>
      </c>
      <c r="I3" s="5">
        <f>IF(SUMPRODUCT($B$4:$D$4,Sheet2!A3:C3)+Sheet3!$E$4&lt;0,0,SUMPRODUCT($B$4:$D$4,Sheet2!A3:C3)+Sheet3!$E$4)</f>
        <v>0.87140501668596304</v>
      </c>
      <c r="J3" s="5">
        <f>IF(SUMPRODUCT($B$5:$D$5,Sheet2!A3:C3)+Sheet3!$E$5&lt;0,0,SUMPRODUCT($B$5:$D$5,Sheet2!A3:C3)+Sheet3!$E$5)</f>
        <v>0</v>
      </c>
      <c r="K3" s="5">
        <f>IF(SUMPRODUCT($B$6:$D$6,Sheet2!A3:C3)+Sheet3!$E$6&lt;0,0,SUMPRODUCT($B$6:$D$6,Sheet2!A3:C3)+Sheet3!$E$6)</f>
        <v>16.532327246262206</v>
      </c>
      <c r="L3" s="5">
        <f>IF(SUMPRODUCT($B$7:$D$7,Sheet2!A3:C3)+Sheet3!$E$7&lt;0,0,SUMPRODUCT($B$7:$D$7,Sheet2!A3:C3)+Sheet3!$E$7)</f>
        <v>0</v>
      </c>
      <c r="N3" s="5">
        <f t="shared" ref="N3:N21" si="1">SUMPRODUCT($A$12:$E$12,H4:L4)+$F$12</f>
        <v>-0.35143399446652479</v>
      </c>
      <c r="O3">
        <f>Sheet2!D4</f>
        <v>-0.13626175856330683</v>
      </c>
      <c r="P3" s="5">
        <f t="shared" si="0"/>
        <v>4.6299091103590082E-2</v>
      </c>
      <c r="Q3" s="4"/>
    </row>
    <row r="4" spans="1:19" ht="15.5" x14ac:dyDescent="0.35">
      <c r="A4" s="1" t="s">
        <v>20</v>
      </c>
      <c r="B4" s="5">
        <v>4.3550779513650983</v>
      </c>
      <c r="C4" s="5">
        <v>4.1585526109146276</v>
      </c>
      <c r="D4" s="5">
        <v>2.4654713855945167</v>
      </c>
      <c r="E4" s="5">
        <v>6.6376370540766088</v>
      </c>
      <c r="H4" s="5">
        <f>IF(SUMPRODUCT($B$3:$D$3,Sheet2!A4:C4)+Sheet3!$E$3&lt;0,0,SUMPRODUCT($B$3:$D$3,Sheet2!A4:C4)+Sheet3!$E$3)</f>
        <v>1.4204230198862084</v>
      </c>
      <c r="I4" s="5">
        <f>IF(SUMPRODUCT($B$4:$D$4,Sheet2!A4:C4)+Sheet3!$E$4&lt;0,0,SUMPRODUCT($B$4:$D$4,Sheet2!A4:C4)+Sheet3!$E$4)</f>
        <v>2.5992433059249729</v>
      </c>
      <c r="J4" s="5">
        <f>IF(SUMPRODUCT($B$5:$D$5,Sheet2!A4:C4)+Sheet3!$E$5&lt;0,0,SUMPRODUCT($B$5:$D$5,Sheet2!A4:C4)+Sheet3!$E$5)</f>
        <v>9.6629075747970417E-3</v>
      </c>
      <c r="K4" s="5">
        <f>IF(SUMPRODUCT($B$6:$D$6,Sheet2!A4:C4)+Sheet3!$E$6&lt;0,0,SUMPRODUCT($B$6:$D$6,Sheet2!A4:C4)+Sheet3!$E$6)</f>
        <v>8.7316488905984215</v>
      </c>
      <c r="L4" s="5">
        <f>IF(SUMPRODUCT($B$7:$D$7,Sheet2!A4:C4)+Sheet3!$E$7&lt;0,0,SUMPRODUCT($B$7:$D$7,Sheet2!A4:C4)+Sheet3!$E$7)</f>
        <v>0</v>
      </c>
      <c r="N4" s="5">
        <f t="shared" si="1"/>
        <v>0.6611489749824</v>
      </c>
      <c r="O4">
        <f>Sheet2!D5</f>
        <v>0.75240188424086818</v>
      </c>
      <c r="P4" s="5">
        <f t="shared" si="0"/>
        <v>8.3270934481342283E-3</v>
      </c>
      <c r="Q4" s="4"/>
    </row>
    <row r="5" spans="1:19" ht="15.5" x14ac:dyDescent="0.35">
      <c r="A5" s="1" t="s">
        <v>21</v>
      </c>
      <c r="B5" s="5">
        <v>0.54685716554608199</v>
      </c>
      <c r="C5" s="5">
        <v>-7.9888044927243738E-3</v>
      </c>
      <c r="D5" s="5">
        <v>-9.606516137241651E-2</v>
      </c>
      <c r="E5" s="5">
        <v>0.37521482839161818</v>
      </c>
      <c r="H5" s="5">
        <f>IF(SUMPRODUCT($B$3:$D$3,Sheet2!A5:C5)+Sheet3!$E$3&lt;0,0,SUMPRODUCT($B$3:$D$3,Sheet2!A5:C5)+Sheet3!$E$3)</f>
        <v>5.1940184939164533</v>
      </c>
      <c r="I5" s="5">
        <f>IF(SUMPRODUCT($B$4:$D$4,Sheet2!A5:C5)+Sheet3!$E$4&lt;0,0,SUMPRODUCT($B$4:$D$4,Sheet2!A5:C5)+Sheet3!$E$4)</f>
        <v>10.724630371708189</v>
      </c>
      <c r="J5" s="5">
        <f>IF(SUMPRODUCT($B$5:$D$5,Sheet2!A5:C5)+Sheet3!$E$5&lt;0,0,SUMPRODUCT($B$5:$D$5,Sheet2!A5:C5)+Sheet3!$E$5)</f>
        <v>0.81460308937761727</v>
      </c>
      <c r="K5" s="5">
        <f>IF(SUMPRODUCT($B$6:$D$6,Sheet2!A5:C5)+Sheet3!$E$6&lt;0,0,SUMPRODUCT($B$6:$D$6,Sheet2!A5:C5)+Sheet3!$E$6)</f>
        <v>3.7373368197716594</v>
      </c>
      <c r="L5" s="5">
        <f>IF(SUMPRODUCT($B$7:$D$7,Sheet2!A5:C5)+Sheet3!$E$7&lt;0,0,SUMPRODUCT($B$7:$D$7,Sheet2!A5:C5)+Sheet3!$E$7)</f>
        <v>1.6925920323544383</v>
      </c>
      <c r="N5" s="5">
        <f t="shared" si="1"/>
        <v>-1.3508382232845868</v>
      </c>
      <c r="O5">
        <f>Sheet2!D6</f>
        <v>-1.3211466156355403</v>
      </c>
      <c r="P5" s="5">
        <f t="shared" si="0"/>
        <v>8.815915647849195E-4</v>
      </c>
      <c r="Q5" s="4"/>
    </row>
    <row r="6" spans="1:19" ht="15.5" x14ac:dyDescent="0.35">
      <c r="A6" s="1" t="s">
        <v>22</v>
      </c>
      <c r="B6" s="5">
        <v>1.5138085480737917</v>
      </c>
      <c r="C6" s="5">
        <v>-6.36924641606966</v>
      </c>
      <c r="D6" s="5">
        <v>6.8786172798281635</v>
      </c>
      <c r="E6" s="5">
        <v>10.58415669593324</v>
      </c>
      <c r="H6" s="5">
        <f>IF(SUMPRODUCT($B$3:$D$3,Sheet2!A6:C6)+Sheet3!$E$3&lt;0,0,SUMPRODUCT($B$3:$D$3,Sheet2!A6:C6)+Sheet3!$E$3)</f>
        <v>0</v>
      </c>
      <c r="I6" s="5">
        <f>IF(SUMPRODUCT($B$4:$D$4,Sheet2!A6:C6)+Sheet3!$E$4&lt;0,0,SUMPRODUCT($B$4:$D$4,Sheet2!A6:C6)+Sheet3!$E$4)</f>
        <v>0</v>
      </c>
      <c r="J6" s="5">
        <f>IF(SUMPRODUCT($B$5:$D$5,Sheet2!A6:C6)+Sheet3!$E$5&lt;0,0,SUMPRODUCT($B$5:$D$5,Sheet2!A6:C6)+Sheet3!$E$5)</f>
        <v>0</v>
      </c>
      <c r="K6" s="5">
        <f>IF(SUMPRODUCT($B$6:$D$6,Sheet2!A6:C6)+Sheet3!$E$6&lt;0,0,SUMPRODUCT($B$6:$D$6,Sheet2!A6:C6)+Sheet3!$E$6)</f>
        <v>25.702812898318911</v>
      </c>
      <c r="L6" s="5">
        <f>IF(SUMPRODUCT($B$7:$D$7,Sheet2!A6:C6)+Sheet3!$E$7&lt;0,0,SUMPRODUCT($B$7:$D$7,Sheet2!A6:C6)+Sheet3!$E$7)</f>
        <v>0</v>
      </c>
      <c r="N6" s="5">
        <f t="shared" si="1"/>
        <v>1.3511000407581033</v>
      </c>
      <c r="O6">
        <f>Sheet2!D7</f>
        <v>1.3448443127769849</v>
      </c>
      <c r="P6" s="5">
        <f t="shared" si="0"/>
        <v>3.9134132573747663E-5</v>
      </c>
      <c r="Q6" s="4"/>
    </row>
    <row r="7" spans="1:19" ht="15.5" x14ac:dyDescent="0.35">
      <c r="A7" s="1" t="s">
        <v>23</v>
      </c>
      <c r="B7" s="5">
        <v>0.56773291938761827</v>
      </c>
      <c r="C7" s="5">
        <v>3.0301072164000171</v>
      </c>
      <c r="D7" s="5">
        <v>0.86325729039679644</v>
      </c>
      <c r="E7" s="5">
        <v>-1.2387123682591232E-3</v>
      </c>
      <c r="H7" s="5">
        <f>IF(SUMPRODUCT($B$3:$D$3,Sheet2!A7:C7)+Sheet3!$E$3&lt;0,0,SUMPRODUCT($B$3:$D$3,Sheet2!A7:C7)+Sheet3!$E$3)</f>
        <v>7.4496160639818303</v>
      </c>
      <c r="I7" s="5">
        <f>IF(SUMPRODUCT($B$4:$D$4,Sheet2!A7:C7)+Sheet3!$E$4&lt;0,0,SUMPRODUCT($B$4:$D$4,Sheet2!A7:C7)+Sheet3!$E$4)</f>
        <v>15.531973812953478</v>
      </c>
      <c r="J7" s="5">
        <f>IF(SUMPRODUCT($B$5:$D$5,Sheet2!A7:C7)+Sheet3!$E$5&lt;0,0,SUMPRODUCT($B$5:$D$5,Sheet2!A7:C7)+Sheet3!$E$5)</f>
        <v>1.2421513258208865</v>
      </c>
      <c r="K7" s="5">
        <f>IF(SUMPRODUCT($B$6:$D$6,Sheet2!A7:C7)+Sheet3!$E$6&lt;0,0,SUMPRODUCT($B$6:$D$6,Sheet2!A7:C7)+Sheet3!$E$6)</f>
        <v>0</v>
      </c>
      <c r="L7" s="5">
        <f>IF(SUMPRODUCT($B$7:$D$7,Sheet2!A7:C7)+Sheet3!$E$7&lt;0,0,SUMPRODUCT($B$7:$D$7,Sheet2!A7:C7)+Sheet3!$E$7)</f>
        <v>3.8044610177183329</v>
      </c>
      <c r="N7" s="5">
        <f t="shared" si="1"/>
        <v>-0.78414912570470741</v>
      </c>
      <c r="O7">
        <f>Sheet2!D8</f>
        <v>-0.84719267280664678</v>
      </c>
      <c r="P7" s="5">
        <f t="shared" si="0"/>
        <v>3.9744888311944492E-3</v>
      </c>
      <c r="Q7" s="4"/>
    </row>
    <row r="8" spans="1:19" ht="15.5" x14ac:dyDescent="0.35">
      <c r="H8" s="5">
        <f>IF(SUMPRODUCT($B$3:$D$3,Sheet2!A8:C8)+Sheet3!$E$3&lt;0,0,SUMPRODUCT($B$3:$D$3,Sheet2!A8:C8)+Sheet3!$E$3)</f>
        <v>1.1284297746772025</v>
      </c>
      <c r="I8" s="5">
        <f>IF(SUMPRODUCT($B$4:$D$4,Sheet2!A8:C8)+Sheet3!$E$4&lt;0,0,SUMPRODUCT($B$4:$D$4,Sheet2!A8:C8)+Sheet3!$E$4)</f>
        <v>2.2231230276986436</v>
      </c>
      <c r="J8" s="5">
        <f>IF(SUMPRODUCT($B$5:$D$5,Sheet2!A8:C8)+Sheet3!$E$5&lt;0,0,SUMPRODUCT($B$5:$D$5,Sheet2!A8:C8)+Sheet3!$E$5)</f>
        <v>0</v>
      </c>
      <c r="K8" s="5">
        <f>IF(SUMPRODUCT($B$6:$D$6,Sheet2!A8:C8)+Sheet3!$E$6&lt;0,0,SUMPRODUCT($B$6:$D$6,Sheet2!A8:C8)+Sheet3!$E$6)</f>
        <v>20.303594243045744</v>
      </c>
      <c r="L8" s="5">
        <f>IF(SUMPRODUCT($B$7:$D$7,Sheet2!A8:C8)+Sheet3!$E$7&lt;0,0,SUMPRODUCT($B$7:$D$7,Sheet2!A8:C8)+Sheet3!$E$7)</f>
        <v>0</v>
      </c>
      <c r="N8" s="5">
        <f t="shared" si="1"/>
        <v>0.27676708776961578</v>
      </c>
      <c r="O8">
        <f>Sheet2!D9</f>
        <v>4.1470969997528168E-2</v>
      </c>
      <c r="P8" s="5">
        <f t="shared" si="0"/>
        <v>5.5364263038616128E-2</v>
      </c>
      <c r="Q8" s="4"/>
    </row>
    <row r="9" spans="1:19" ht="15.5" x14ac:dyDescent="0.35">
      <c r="H9" s="5">
        <f>IF(SUMPRODUCT($B$3:$D$3,Sheet2!A9:C9)+Sheet3!$E$3&lt;0,0,SUMPRODUCT($B$3:$D$3,Sheet2!A9:C9)+Sheet3!$E$3)</f>
        <v>3.8669947703336591</v>
      </c>
      <c r="I9" s="5">
        <f>IF(SUMPRODUCT($B$4:$D$4,Sheet2!A9:C9)+Sheet3!$E$4&lt;0,0,SUMPRODUCT($B$4:$D$4,Sheet2!A9:C9)+Sheet3!$E$4)</f>
        <v>7.8836636922335614</v>
      </c>
      <c r="J9" s="5">
        <f>IF(SUMPRODUCT($B$5:$D$5,Sheet2!A9:C9)+Sheet3!$E$5&lt;0,0,SUMPRODUCT($B$5:$D$5,Sheet2!A9:C9)+Sheet3!$E$5)</f>
        <v>0.41862221454099025</v>
      </c>
      <c r="K9" s="5">
        <f>IF(SUMPRODUCT($B$6:$D$6,Sheet2!A9:C9)+Sheet3!$E$6&lt;0,0,SUMPRODUCT($B$6:$D$6,Sheet2!A9:C9)+Sheet3!$E$6)</f>
        <v>3.3324302353252637</v>
      </c>
      <c r="L9" s="5">
        <f>IF(SUMPRODUCT($B$7:$D$7,Sheet2!A9:C9)+Sheet3!$E$7&lt;0,0,SUMPRODUCT($B$7:$D$7,Sheet2!A9:C9)+Sheet3!$E$7)</f>
        <v>1.3746658191613526</v>
      </c>
      <c r="N9" s="5">
        <f t="shared" si="1"/>
        <v>0.47239783744885799</v>
      </c>
      <c r="O9">
        <f>Sheet2!D10</f>
        <v>0.45618066997280982</v>
      </c>
      <c r="P9" s="5">
        <f t="shared" si="0"/>
        <v>2.6299652094619481E-4</v>
      </c>
      <c r="Q9" s="4"/>
    </row>
    <row r="10" spans="1:19" ht="15.5" x14ac:dyDescent="0.35">
      <c r="A10" s="7" t="s">
        <v>14</v>
      </c>
      <c r="B10" s="8"/>
      <c r="C10" s="8"/>
      <c r="D10" s="8"/>
      <c r="E10" s="9"/>
      <c r="F10" s="1"/>
      <c r="H10" s="5">
        <f>IF(SUMPRODUCT($B$3:$D$3,Sheet2!A10:C10)+Sheet3!$E$3&lt;0,0,SUMPRODUCT($B$3:$D$3,Sheet2!A10:C10)+Sheet3!$E$3)</f>
        <v>3.8198382265423665</v>
      </c>
      <c r="I10" s="5">
        <f>IF(SUMPRODUCT($B$4:$D$4,Sheet2!A10:C10)+Sheet3!$E$4&lt;0,0,SUMPRODUCT($B$4:$D$4,Sheet2!A10:C10)+Sheet3!$E$4)</f>
        <v>7.6450740714564986</v>
      </c>
      <c r="J10" s="5">
        <f>IF(SUMPRODUCT($B$5:$D$5,Sheet2!A10:C10)+Sheet3!$E$5&lt;0,0,SUMPRODUCT($B$5:$D$5,Sheet2!A10:C10)+Sheet3!$E$5)</f>
        <v>0.82640989655081887</v>
      </c>
      <c r="K10" s="5">
        <f>IF(SUMPRODUCT($B$6:$D$6,Sheet2!A10:C10)+Sheet3!$E$6&lt;0,0,SUMPRODUCT($B$6:$D$6,Sheet2!A10:C10)+Sheet3!$E$6)</f>
        <v>7.7667481786519073</v>
      </c>
      <c r="L10" s="5">
        <f>IF(SUMPRODUCT($B$7:$D$7,Sheet2!A10:C10)+Sheet3!$E$7&lt;0,0,SUMPRODUCT($B$7:$D$7,Sheet2!A10:C10)+Sheet3!$E$7)</f>
        <v>0</v>
      </c>
      <c r="N10" s="5">
        <f t="shared" si="1"/>
        <v>-1.2707585677801536</v>
      </c>
      <c r="O10">
        <f>Sheet2!D11</f>
        <v>-1.2619023727819285</v>
      </c>
      <c r="P10" s="5">
        <f t="shared" si="0"/>
        <v>7.8432189846587233E-5</v>
      </c>
      <c r="Q10" s="4"/>
    </row>
    <row r="11" spans="1:19" ht="15.5" x14ac:dyDescent="0.35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6" t="s">
        <v>13</v>
      </c>
      <c r="H11" s="5">
        <f>IF(SUMPRODUCT($B$3:$D$3,Sheet2!A11:C11)+Sheet3!$E$3&lt;0,0,SUMPRODUCT($B$3:$D$3,Sheet2!A11:C11)+Sheet3!$E$3)</f>
        <v>0.37432859224062875</v>
      </c>
      <c r="I11" s="5">
        <f>IF(SUMPRODUCT($B$4:$D$4,Sheet2!A11:C11)+Sheet3!$E$4&lt;0,0,SUMPRODUCT($B$4:$D$4,Sheet2!A11:C11)+Sheet3!$E$4)</f>
        <v>0.81338718341391303</v>
      </c>
      <c r="J11" s="5">
        <f>IF(SUMPRODUCT($B$5:$D$5,Sheet2!A11:C11)+Sheet3!$E$5&lt;0,0,SUMPRODUCT($B$5:$D$5,Sheet2!A11:C11)+Sheet3!$E$5)</f>
        <v>0</v>
      </c>
      <c r="K11" s="5">
        <f>IF(SUMPRODUCT($B$6:$D$6,Sheet2!A11:C11)+Sheet3!$E$6&lt;0,0,SUMPRODUCT($B$6:$D$6,Sheet2!A11:C11)+Sheet3!$E$6)</f>
        <v>23.891793890487804</v>
      </c>
      <c r="L11" s="5">
        <f>IF(SUMPRODUCT($B$7:$D$7,Sheet2!A11:C11)+Sheet3!$E$7&lt;0,0,SUMPRODUCT($B$7:$D$7,Sheet2!A11:C11)+Sheet3!$E$7)</f>
        <v>0</v>
      </c>
      <c r="N11" s="5">
        <f t="shared" si="1"/>
        <v>1.3820329012339534</v>
      </c>
      <c r="O11">
        <f>Sheet2!D12</f>
        <v>1.5225770413378199</v>
      </c>
      <c r="P11" s="5">
        <f t="shared" si="0"/>
        <v>1.9752655317535259E-2</v>
      </c>
      <c r="Q11" s="4"/>
    </row>
    <row r="12" spans="1:19" ht="15.5" x14ac:dyDescent="0.35">
      <c r="A12" s="5">
        <v>3.3013554957865532</v>
      </c>
      <c r="B12" s="5">
        <v>-1.4213363723837487</v>
      </c>
      <c r="C12" s="5">
        <v>9.0758937119885849E-2</v>
      </c>
      <c r="D12" s="5">
        <v>-2.1241571518148996E-4</v>
      </c>
      <c r="E12" s="5">
        <v>1.7366620189803051E-2</v>
      </c>
      <c r="F12" s="5">
        <v>-1.3453785419006143</v>
      </c>
      <c r="H12" s="5">
        <f>IF(SUMPRODUCT($B$3:$D$3,Sheet2!A12:C12)+Sheet3!$E$3&lt;0,0,SUMPRODUCT($B$3:$D$3,Sheet2!A12:C12)+Sheet3!$E$3)</f>
        <v>7.3222999437271135</v>
      </c>
      <c r="I12" s="5">
        <f>IF(SUMPRODUCT($B$4:$D$4,Sheet2!A12:C12)+Sheet3!$E$4&lt;0,0,SUMPRODUCT($B$4:$D$4,Sheet2!A12:C12)+Sheet3!$E$4)</f>
        <v>15.213922516244608</v>
      </c>
      <c r="J12" s="5">
        <f>IF(SUMPRODUCT($B$5:$D$5,Sheet2!A12:C12)+Sheet3!$E$5&lt;0,0,SUMPRODUCT($B$5:$D$5,Sheet2!A12:C12)+Sheet3!$E$5)</f>
        <v>1.2545439454722704</v>
      </c>
      <c r="K12" s="5">
        <f>IF(SUMPRODUCT($B$6:$D$6,Sheet2!A12:C12)+Sheet3!$E$6&lt;0,0,SUMPRODUCT($B$6:$D$6,Sheet2!A12:C12)+Sheet3!$E$6)</f>
        <v>0</v>
      </c>
      <c r="L12" s="5">
        <f>IF(SUMPRODUCT($B$7:$D$7,Sheet2!A12:C12)+Sheet3!$E$7&lt;0,0,SUMPRODUCT($B$7:$D$7,Sheet2!A12:C12)+Sheet3!$E$7)</f>
        <v>3.693098905706687</v>
      </c>
      <c r="N12" s="5">
        <f t="shared" si="1"/>
        <v>-0.14611390687015713</v>
      </c>
      <c r="O12">
        <f>Sheet2!D13</f>
        <v>-0.19550600141691851</v>
      </c>
      <c r="P12" s="5">
        <f t="shared" si="0"/>
        <v>2.4395790037162156E-3</v>
      </c>
      <c r="Q12" s="4"/>
    </row>
    <row r="13" spans="1:19" ht="15.5" x14ac:dyDescent="0.35">
      <c r="H13" s="5">
        <f>IF(SUMPRODUCT($B$3:$D$3,Sheet2!A13:C13)+Sheet3!$E$3&lt;0,0,SUMPRODUCT($B$3:$D$3,Sheet2!A13:C13)+Sheet3!$E$3)</f>
        <v>3.4158563748062591</v>
      </c>
      <c r="I13" s="5">
        <f>IF(SUMPRODUCT($B$4:$D$4,Sheet2!A13:C13)+Sheet3!$E$4&lt;0,0,SUMPRODUCT($B$4:$D$4,Sheet2!A13:C13)+Sheet3!$E$4)</f>
        <v>7.1099792931211496</v>
      </c>
      <c r="J13" s="5">
        <f>IF(SUMPRODUCT($B$5:$D$5,Sheet2!A13:C13)+Sheet3!$E$5&lt;0,0,SUMPRODUCT($B$5:$D$5,Sheet2!A13:C13)+Sheet3!$E$5)</f>
        <v>0.34058252924165794</v>
      </c>
      <c r="K13" s="5">
        <f>IF(SUMPRODUCT($B$6:$D$6,Sheet2!A13:C13)+Sheet3!$E$6&lt;0,0,SUMPRODUCT($B$6:$D$6,Sheet2!A13:C13)+Sheet3!$E$6)</f>
        <v>13.795179412248014</v>
      </c>
      <c r="L13" s="5">
        <f>IF(SUMPRODUCT($B$7:$D$7,Sheet2!A13:C13)+Sheet3!$E$7&lt;0,0,SUMPRODUCT($B$7:$D$7,Sheet2!A13:C13)+Sheet3!$E$7)</f>
        <v>0</v>
      </c>
      <c r="N13" s="5">
        <f t="shared" si="1"/>
        <v>-0.72827059049199672</v>
      </c>
      <c r="O13">
        <f>Sheet2!D14</f>
        <v>-0.66945994424581179</v>
      </c>
      <c r="P13" s="5">
        <f t="shared" si="0"/>
        <v>3.4586921118939054E-3</v>
      </c>
      <c r="Q13" s="4"/>
    </row>
    <row r="14" spans="1:19" ht="15.5" x14ac:dyDescent="0.35">
      <c r="H14" s="5">
        <f>IF(SUMPRODUCT($B$3:$D$3,Sheet2!A14:C14)+Sheet3!$E$3&lt;0,0,SUMPRODUCT($B$3:$D$3,Sheet2!A14:C14)+Sheet3!$E$3)</f>
        <v>0.90562656423145027</v>
      </c>
      <c r="I14" s="5">
        <f>IF(SUMPRODUCT($B$4:$D$4,Sheet2!A14:C14)+Sheet3!$E$4&lt;0,0,SUMPRODUCT($B$4:$D$4,Sheet2!A14:C14)+Sheet3!$E$4)</f>
        <v>1.6665332584581281</v>
      </c>
      <c r="J14" s="5">
        <f>IF(SUMPRODUCT($B$5:$D$5,Sheet2!A14:C14)+Sheet3!$E$5&lt;0,0,SUMPRODUCT($B$5:$D$5,Sheet2!A14:C14)+Sheet3!$E$5)</f>
        <v>0</v>
      </c>
      <c r="K14" s="5">
        <f>IF(SUMPRODUCT($B$6:$D$6,Sheet2!A14:C14)+Sheet3!$E$6&lt;0,0,SUMPRODUCT($B$6:$D$6,Sheet2!A14:C14)+Sheet3!$E$6)</f>
        <v>18.750719597311345</v>
      </c>
      <c r="L14" s="5">
        <f>IF(SUMPRODUCT($B$7:$D$7,Sheet2!A14:C14)+Sheet3!$E$7&lt;0,0,SUMPRODUCT($B$7:$D$7,Sheet2!A14:C14)+Sheet3!$E$7)</f>
        <v>0</v>
      </c>
      <c r="N14" s="5">
        <f t="shared" si="1"/>
        <v>0.75451302208731574</v>
      </c>
      <c r="O14">
        <f>Sheet2!D15</f>
        <v>0.69315764138725655</v>
      </c>
      <c r="P14" s="5">
        <f t="shared" si="0"/>
        <v>3.7644827408491962E-3</v>
      </c>
      <c r="Q14" s="4"/>
    </row>
    <row r="15" spans="1:19" ht="15.5" x14ac:dyDescent="0.35">
      <c r="H15" s="5">
        <f>IF(SUMPRODUCT($B$3:$D$3,Sheet2!A15:C15)+Sheet3!$E$3&lt;0,0,SUMPRODUCT($B$3:$D$3,Sheet2!A15:C15)+Sheet3!$E$3)</f>
        <v>4.8120701331523072</v>
      </c>
      <c r="I15" s="5">
        <f>IF(SUMPRODUCT($B$4:$D$4,Sheet2!A15:C15)+Sheet3!$E$4&lt;0,0,SUMPRODUCT($B$4:$D$4,Sheet2!A15:C15)+Sheet3!$E$4)</f>
        <v>9.770476481581591</v>
      </c>
      <c r="J15" s="5">
        <f>IF(SUMPRODUCT($B$5:$D$5,Sheet2!A15:C15)+Sheet3!$E$5&lt;0,0,SUMPRODUCT($B$5:$D$5,Sheet2!A15:C15)+Sheet3!$E$5)</f>
        <v>0.85178094833176909</v>
      </c>
      <c r="K15" s="5">
        <f>IF(SUMPRODUCT($B$6:$D$6,Sheet2!A15:C15)+Sheet3!$E$6&lt;0,0,SUMPRODUCT($B$6:$D$6,Sheet2!A15:C15)+Sheet3!$E$6)</f>
        <v>1.0752659985126929</v>
      </c>
      <c r="L15" s="5">
        <f>IF(SUMPRODUCT($B$7:$D$7,Sheet2!A15:C15)+Sheet3!$E$7&lt;0,0,SUMPRODUCT($B$7:$D$7,Sheet2!A15:C15)+Sheet3!$E$7)</f>
        <v>1.3585056963195024</v>
      </c>
      <c r="N15" s="5">
        <f t="shared" si="1"/>
        <v>-1.3510267118437074</v>
      </c>
      <c r="O15">
        <f>Sheet2!D16</f>
        <v>-1.3803908584891518</v>
      </c>
      <c r="P15" s="5">
        <f t="shared" si="0"/>
        <v>8.6225310821516361E-4</v>
      </c>
      <c r="Q15" s="4"/>
    </row>
    <row r="16" spans="1:19" ht="15.5" x14ac:dyDescent="0.35">
      <c r="H16" s="5">
        <f>IF(SUMPRODUCT($B$3:$D$3,Sheet2!A16:C16)+Sheet3!$E$3&lt;0,0,SUMPRODUCT($B$3:$D$3,Sheet2!A16:C16)+Sheet3!$E$3)</f>
        <v>0</v>
      </c>
      <c r="I16" s="5">
        <f>IF(SUMPRODUCT($B$4:$D$4,Sheet2!A16:C16)+Sheet3!$E$4&lt;0,0,SUMPRODUCT($B$4:$D$4,Sheet2!A16:C16)+Sheet3!$E$4)</f>
        <v>0</v>
      </c>
      <c r="J16" s="5">
        <f>IF(SUMPRODUCT($B$5:$D$5,Sheet2!A16:C16)+Sheet3!$E$5&lt;0,0,SUMPRODUCT($B$5:$D$5,Sheet2!A16:C16)+Sheet3!$E$5)</f>
        <v>0</v>
      </c>
      <c r="K16" s="5">
        <f>IF(SUMPRODUCT($B$6:$D$6,Sheet2!A16:C16)+Sheet3!$E$6&lt;0,0,SUMPRODUCT($B$6:$D$6,Sheet2!A16:C16)+Sheet3!$E$6)</f>
        <v>26.590169838738561</v>
      </c>
      <c r="L16" s="5">
        <f>IF(SUMPRODUCT($B$7:$D$7,Sheet2!A16:C16)+Sheet3!$E$7&lt;0,0,SUMPRODUCT($B$7:$D$7,Sheet2!A16:C16)+Sheet3!$E$7)</f>
        <v>0</v>
      </c>
      <c r="N16" s="5">
        <f t="shared" si="1"/>
        <v>1.6867222022017079</v>
      </c>
      <c r="O16">
        <f>Sheet2!D17</f>
        <v>1.6410655270450432</v>
      </c>
      <c r="P16" s="5">
        <f t="shared" si="0"/>
        <v>2.0845319863612051E-3</v>
      </c>
      <c r="Q16" s="4"/>
    </row>
    <row r="17" spans="8:17" ht="15.5" x14ac:dyDescent="0.35">
      <c r="H17" s="5">
        <f>IF(SUMPRODUCT($B$3:$D$3,Sheet2!A17:C17)+Sheet3!$E$3&lt;0,0,SUMPRODUCT($B$3:$D$3,Sheet2!A17:C17)+Sheet3!$E$3)</f>
        <v>8.2508737902096971</v>
      </c>
      <c r="I17" s="5">
        <f>IF(SUMPRODUCT($B$4:$D$4,Sheet2!A17:C17)+Sheet3!$E$4&lt;0,0,SUMPRODUCT($B$4:$D$4,Sheet2!A17:C17)+Sheet3!$E$4)</f>
        <v>17.180299278015269</v>
      </c>
      <c r="J17" s="5">
        <f>IF(SUMPRODUCT($B$5:$D$5,Sheet2!A17:C17)+Sheet3!$E$5&lt;0,0,SUMPRODUCT($B$5:$D$5,Sheet2!A17:C17)+Sheet3!$E$5)</f>
        <v>1.2861113070789127</v>
      </c>
      <c r="K17" s="5">
        <f>IF(SUMPRODUCT($B$6:$D$6,Sheet2!A17:C17)+Sheet3!$E$6&lt;0,0,SUMPRODUCT($B$6:$D$6,Sheet2!A17:C17)+Sheet3!$E$6)</f>
        <v>0</v>
      </c>
      <c r="L17" s="5">
        <f>IF(SUMPRODUCT($B$7:$D$7,Sheet2!A17:C17)+Sheet3!$E$7&lt;0,0,SUMPRODUCT($B$7:$D$7,Sheet2!A17:C17)+Sheet3!$E$7)</f>
        <v>5.487041677877496</v>
      </c>
      <c r="N17" s="5">
        <f t="shared" si="1"/>
        <v>-0.65298246878108313</v>
      </c>
      <c r="O17">
        <f>Sheet2!D18</f>
        <v>-0.61021570139220016</v>
      </c>
      <c r="P17" s="5">
        <f t="shared" si="0"/>
        <v>1.8289963928948235E-3</v>
      </c>
      <c r="Q17" s="4"/>
    </row>
    <row r="18" spans="8:17" ht="15.5" x14ac:dyDescent="0.35">
      <c r="H18" s="5">
        <f>IF(SUMPRODUCT($B$3:$D$3,Sheet2!A18:C18)+Sheet3!$E$3&lt;0,0,SUMPRODUCT($B$3:$D$3,Sheet2!A18:C18)+Sheet3!$E$3)</f>
        <v>2.6299261623060062</v>
      </c>
      <c r="I18" s="5">
        <f>IF(SUMPRODUCT($B$4:$D$4,Sheet2!A18:C18)+Sheet3!$E$4&lt;0,0,SUMPRODUCT($B$4:$D$4,Sheet2!A18:C18)+Sheet3!$E$4)</f>
        <v>5.6207306246592017</v>
      </c>
      <c r="J18" s="5">
        <f>IF(SUMPRODUCT($B$5:$D$5,Sheet2!A18:C18)+Sheet3!$E$5&lt;0,0,SUMPRODUCT($B$5:$D$5,Sheet2!A18:C18)+Sheet3!$E$5)</f>
        <v>0</v>
      </c>
      <c r="K18" s="5">
        <f>IF(SUMPRODUCT($B$6:$D$6,Sheet2!A18:C18)+Sheet3!$E$6&lt;0,0,SUMPRODUCT($B$6:$D$6,Sheet2!A18:C18)+Sheet3!$E$6)</f>
        <v>17.161539824585155</v>
      </c>
      <c r="L18" s="5">
        <f>IF(SUMPRODUCT($B$7:$D$7,Sheet2!A18:C18)+Sheet3!$E$7&lt;0,0,SUMPRODUCT($B$7:$D$7,Sheet2!A18:C18)+Sheet3!$E$7)</f>
        <v>0.15369372989062124</v>
      </c>
      <c r="N18" s="5">
        <f t="shared" si="1"/>
        <v>0.13672101711224616</v>
      </c>
      <c r="O18">
        <f>Sheet2!D19</f>
        <v>0.10071521285113984</v>
      </c>
      <c r="P18" s="5"/>
      <c r="Q18" s="11" t="s">
        <v>12</v>
      </c>
    </row>
    <row r="19" spans="8:17" ht="15.5" x14ac:dyDescent="0.35">
      <c r="H19" s="5">
        <f>IF(SUMPRODUCT($B$3:$D$3,Sheet2!A19:C19)+Sheet3!$E$3&lt;0,0,SUMPRODUCT($B$3:$D$3,Sheet2!A19:C19)+Sheet3!$E$3)</f>
        <v>4.4399173114798778</v>
      </c>
      <c r="I19" s="5">
        <f>IF(SUMPRODUCT($B$4:$D$4,Sheet2!A19:C19)+Sheet3!$E$4&lt;0,0,SUMPRODUCT($B$4:$D$4,Sheet2!A19:C19)+Sheet3!$E$4)</f>
        <v>9.3148945274234567</v>
      </c>
      <c r="J19" s="5">
        <f>IF(SUMPRODUCT($B$5:$D$5,Sheet2!A19:C19)+Sheet3!$E$5&lt;0,0,SUMPRODUCT($B$5:$D$5,Sheet2!A19:C19)+Sheet3!$E$5)</f>
        <v>0.36285542610976229</v>
      </c>
      <c r="K19" s="5">
        <f>IF(SUMPRODUCT($B$6:$D$6,Sheet2!A19:C19)+Sheet3!$E$6&lt;0,0,SUMPRODUCT($B$6:$D$6,Sheet2!A19:C19)+Sheet3!$E$6)</f>
        <v>7.32553646721371</v>
      </c>
      <c r="L19" s="5">
        <f>IF(SUMPRODUCT($B$7:$D$7,Sheet2!A19:C19)+Sheet3!$E$7&lt;0,0,SUMPRODUCT($B$7:$D$7,Sheet2!A19:C19)+Sheet3!$E$7)</f>
        <v>1.8757953232137563</v>
      </c>
      <c r="M19" t="s">
        <v>44</v>
      </c>
      <c r="N19" s="5">
        <f t="shared" si="1"/>
        <v>0.43934250491104665</v>
      </c>
      <c r="O19">
        <f>Sheet2!D20</f>
        <v>0.57466915568003318</v>
      </c>
      <c r="P19" s="5"/>
      <c r="Q19" s="12"/>
    </row>
    <row r="20" spans="8:17" ht="15.5" x14ac:dyDescent="0.35">
      <c r="H20" s="5">
        <f>IF(SUMPRODUCT($B$3:$D$3,Sheet2!A20:C20)+Sheet3!$E$3&lt;0,0,SUMPRODUCT($B$3:$D$3,Sheet2!A20:C20)+Sheet3!$E$3)</f>
        <v>3.9471543467970815</v>
      </c>
      <c r="I20" s="5">
        <f>IF(SUMPRODUCT($B$4:$D$4,Sheet2!A20:C20)+Sheet3!$E$4&lt;0,0,SUMPRODUCT($B$4:$D$4,Sheet2!A20:C20)+Sheet3!$E$4)</f>
        <v>7.9631253681653638</v>
      </c>
      <c r="J20" s="5">
        <f>IF(SUMPRODUCT($B$5:$D$5,Sheet2!A20:C20)+Sheet3!$E$5&lt;0,0,SUMPRODUCT($B$5:$D$5,Sheet2!A20:C20)+Sheet3!$E$5)</f>
        <v>0.81401727689943493</v>
      </c>
      <c r="K20" s="5">
        <f>IF(SUMPRODUCT($B$6:$D$6,Sheet2!A20:C20)+Sheet3!$E$6&lt;0,0,SUMPRODUCT($B$6:$D$6,Sheet2!A20:C20)+Sheet3!$E$6)</f>
        <v>8.654105119071561</v>
      </c>
      <c r="L20" s="5">
        <f>IF(SUMPRODUCT($B$7:$D$7,Sheet2!A20:C20)+Sheet3!$E$7&lt;0,0,SUMPRODUCT($B$7:$D$7,Sheet2!A20:C20)+Sheet3!$E$7)</f>
        <v>0</v>
      </c>
      <c r="M20" t="s">
        <v>45</v>
      </c>
      <c r="N20" s="5">
        <f t="shared" si="1"/>
        <v>-1.3518277882199694</v>
      </c>
      <c r="O20">
        <f>Sheet2!D21</f>
        <v>-1.4396351013427635</v>
      </c>
      <c r="P20" s="5"/>
      <c r="Q20" s="12"/>
    </row>
    <row r="21" spans="8:17" ht="15.5" x14ac:dyDescent="0.35">
      <c r="H21" s="5">
        <f>IF(SUMPRODUCT($B$3:$D$3,Sheet2!A21:C21)+Sheet3!$E$3&lt;0,0,SUMPRODUCT($B$3:$D$3,Sheet2!A21:C21)+Sheet3!$E$3)</f>
        <v>0</v>
      </c>
      <c r="I21" s="5">
        <f>IF(SUMPRODUCT($B$4:$D$4,Sheet2!A21:C21)+Sheet3!$E$4&lt;0,0,SUMPRODUCT($B$4:$D$4,Sheet2!A21:C21)+Sheet3!$E$4)</f>
        <v>0</v>
      </c>
      <c r="J21" s="5">
        <f>IF(SUMPRODUCT($B$5:$D$5,Sheet2!A21:C21)+Sheet3!$E$5&lt;0,0,SUMPRODUCT($B$5:$D$5,Sheet2!A21:C21)+Sheet3!$E$5)</f>
        <v>0</v>
      </c>
      <c r="K21" s="5">
        <f>IF(SUMPRODUCT($B$6:$D$6,Sheet2!A21:C21)+Sheet3!$E$6&lt;0,0,SUMPRODUCT($B$6:$D$6,Sheet2!A21:C21)+Sheet3!$E$6)</f>
        <v>30.361436835522099</v>
      </c>
      <c r="L21" s="5">
        <f>IF(SUMPRODUCT($B$7:$D$7,Sheet2!A21:C21)+Sheet3!$E$7&lt;0,0,SUMPRODUCT($B$7:$D$7,Sheet2!A21:C21)+Sheet3!$E$7)</f>
        <v>0</v>
      </c>
      <c r="M21" t="s">
        <v>45</v>
      </c>
      <c r="N21" s="5">
        <f t="shared" si="1"/>
        <v>1.428432191947727</v>
      </c>
      <c r="O21">
        <f>Sheet2!D22</f>
        <v>1.4633327984842082</v>
      </c>
      <c r="P21" s="5"/>
      <c r="Q21" s="13"/>
    </row>
    <row r="22" spans="8:17" ht="15.5" x14ac:dyDescent="0.35">
      <c r="H22" s="5">
        <f>IF(SUMPRODUCT($B$3:$D$3,Sheet2!A22:C22)+Sheet3!$E$3&lt;0,0,SUMPRODUCT($B$3:$D$3,Sheet2!A22:C22)+Sheet3!$E$3)</f>
        <v>7.1313257633450418</v>
      </c>
      <c r="I22" s="5">
        <f>IF(SUMPRODUCT($B$4:$D$4,Sheet2!A22:C22)+Sheet3!$E$4&lt;0,0,SUMPRODUCT($B$4:$D$4,Sheet2!A22:C22)+Sheet3!$E$4)</f>
        <v>14.736845571181313</v>
      </c>
      <c r="J22" s="5">
        <f>IF(SUMPRODUCT($B$5:$D$5,Sheet2!A22:C22)+Sheet3!$E$5&lt;0,0,SUMPRODUCT($B$5:$D$5,Sheet2!A22:C22)+Sheet3!$E$5)</f>
        <v>1.2731328749493465</v>
      </c>
      <c r="K22" s="5">
        <f>IF(SUMPRODUCT($B$6:$D$6,Sheet2!A22:C22)+Sheet3!$E$6&lt;0,0,SUMPRODUCT($B$6:$D$6,Sheet2!A22:C22)+Sheet3!$E$6)</f>
        <v>0</v>
      </c>
      <c r="L22" s="5">
        <f>IF(SUMPRODUCT($B$7:$D$7,Sheet2!A22:C22)+Sheet3!$E$7&lt;0,0,SUMPRODUCT($B$7:$D$7,Sheet2!A22:C22)+Sheet3!$E$7)</f>
        <v>3.5260557376892194</v>
      </c>
      <c r="M22" t="s">
        <v>45</v>
      </c>
    </row>
    <row r="23" spans="8:17" ht="15.5" x14ac:dyDescent="0.35">
      <c r="H23" s="5"/>
      <c r="I23" s="5"/>
    </row>
    <row r="24" spans="8:17" ht="15.5" x14ac:dyDescent="0.35">
      <c r="H24" s="5"/>
      <c r="I24" s="5"/>
    </row>
    <row r="25" spans="8:17" ht="15.5" x14ac:dyDescent="0.35">
      <c r="H25" s="5"/>
      <c r="I25" s="5"/>
    </row>
    <row r="26" spans="8:17" ht="15.5" x14ac:dyDescent="0.35">
      <c r="H26" s="5"/>
      <c r="I26" s="5"/>
    </row>
  </sheetData>
  <mergeCells count="3">
    <mergeCell ref="A1:E1"/>
    <mergeCell ref="A10:E10"/>
    <mergeCell ref="Q18:Q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6BB3-E427-4AA7-BEF8-E6E95E4C22BB}">
  <dimension ref="A1:Q23"/>
  <sheetViews>
    <sheetView topLeftCell="C1" workbookViewId="0">
      <selection activeCell="H2" sqref="H2"/>
    </sheetView>
  </sheetViews>
  <sheetFormatPr defaultRowHeight="14.5" x14ac:dyDescent="0.35"/>
  <cols>
    <col min="1" max="1" width="19.7265625" bestFit="1" customWidth="1"/>
    <col min="2" max="2" width="22.08984375" bestFit="1" customWidth="1"/>
    <col min="3" max="3" width="17.1796875" customWidth="1"/>
    <col min="4" max="4" width="36.08984375" customWidth="1"/>
    <col min="5" max="5" width="7.1796875" customWidth="1"/>
  </cols>
  <sheetData>
    <row r="1" spans="1:17" x14ac:dyDescent="0.35">
      <c r="A1" t="s">
        <v>38</v>
      </c>
      <c r="B1" t="s">
        <v>39</v>
      </c>
      <c r="C1" t="s">
        <v>40</v>
      </c>
      <c r="D1" t="s">
        <v>41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P1" t="s">
        <v>42</v>
      </c>
      <c r="Q1" t="s">
        <v>43</v>
      </c>
    </row>
    <row r="2" spans="1:17" x14ac:dyDescent="0.35">
      <c r="A2">
        <v>0</v>
      </c>
      <c r="B2">
        <v>0.59695073896556561</v>
      </c>
      <c r="C2">
        <v>7.9013863382236496E-2</v>
      </c>
      <c r="D2">
        <v>0.10071521285113984</v>
      </c>
      <c r="H2">
        <v>3.3574000000000002</v>
      </c>
      <c r="I2">
        <v>6.9534000000000002</v>
      </c>
      <c r="J2">
        <v>0.82069999999999999</v>
      </c>
      <c r="K2">
        <v>10.1869</v>
      </c>
      <c r="L2">
        <v>0</v>
      </c>
      <c r="P2">
        <v>0.13672101711224616</v>
      </c>
      <c r="Q2">
        <v>0.10071521285113984</v>
      </c>
    </row>
    <row r="3" spans="1:17" x14ac:dyDescent="0.35">
      <c r="A3">
        <v>0.70710678118654746</v>
      </c>
      <c r="B3">
        <v>-0.10534424805274681</v>
      </c>
      <c r="C3">
        <v>-0.53374670978613403</v>
      </c>
      <c r="D3">
        <v>0.57466915568003318</v>
      </c>
      <c r="H3">
        <v>0</v>
      </c>
      <c r="I3">
        <v>0</v>
      </c>
      <c r="J3">
        <v>0</v>
      </c>
      <c r="K3">
        <v>36.651400000000002</v>
      </c>
      <c r="L3">
        <v>0</v>
      </c>
      <c r="P3">
        <v>0.43934250491103599</v>
      </c>
      <c r="Q3">
        <v>0.57466915568003318</v>
      </c>
    </row>
    <row r="4" spans="1:17" x14ac:dyDescent="0.35">
      <c r="A4">
        <v>-1.4142135623730949</v>
      </c>
      <c r="B4">
        <v>-1.5099342220893717</v>
      </c>
      <c r="C4">
        <v>1.7882933569571664</v>
      </c>
      <c r="D4">
        <v>-1.4396351013427635</v>
      </c>
      <c r="H4">
        <v>6.8348000000000004</v>
      </c>
      <c r="I4">
        <v>14.6797</v>
      </c>
      <c r="J4">
        <v>1.2805</v>
      </c>
      <c r="K4">
        <v>0</v>
      </c>
      <c r="L4">
        <v>3.1917</v>
      </c>
      <c r="P4">
        <v>-1.3518277882199694</v>
      </c>
      <c r="Q4">
        <v>-1.4396351013427635</v>
      </c>
    </row>
    <row r="5" spans="1:17" x14ac:dyDescent="0.35">
      <c r="A5">
        <v>1.4142135623730949</v>
      </c>
      <c r="B5">
        <v>1.2992457259838781</v>
      </c>
      <c r="C5">
        <v>-1.4045117348148717</v>
      </c>
      <c r="D5">
        <v>1.4633327984842082</v>
      </c>
      <c r="H5">
        <v>2.7233999999999998</v>
      </c>
      <c r="I5">
        <v>5.1371000000000002</v>
      </c>
      <c r="J5">
        <v>0.38119999999999998</v>
      </c>
      <c r="K5">
        <v>13.2662</v>
      </c>
      <c r="L5">
        <v>0</v>
      </c>
      <c r="P5">
        <v>1.4284321919477092</v>
      </c>
      <c r="Q5">
        <v>1.4633327984842082</v>
      </c>
    </row>
    <row r="11" spans="1:17" x14ac:dyDescent="0.3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13</v>
      </c>
    </row>
    <row r="12" spans="1:17" x14ac:dyDescent="0.35">
      <c r="A12">
        <v>4.6461877283860611</v>
      </c>
      <c r="B12">
        <v>-1.5977068432108537</v>
      </c>
      <c r="C12">
        <v>9.2442262352138829E-2</v>
      </c>
      <c r="D12">
        <v>0.2353601813600413</v>
      </c>
      <c r="E12">
        <v>-0.86956724077096859</v>
      </c>
      <c r="F12">
        <v>-6.5463993754328582</v>
      </c>
    </row>
    <row r="17" spans="2:6" x14ac:dyDescent="0.35">
      <c r="B17" t="s">
        <v>15</v>
      </c>
    </row>
    <row r="18" spans="2:6" x14ac:dyDescent="0.35">
      <c r="C18" t="s">
        <v>16</v>
      </c>
      <c r="D18" t="s">
        <v>17</v>
      </c>
      <c r="E18" t="s">
        <v>18</v>
      </c>
      <c r="F18" t="s">
        <v>13</v>
      </c>
    </row>
    <row r="19" spans="2:6" x14ac:dyDescent="0.35">
      <c r="B19" t="s">
        <v>19</v>
      </c>
      <c r="C19">
        <v>1.9698339332571573</v>
      </c>
      <c r="D19">
        <v>2.1074764516033531</v>
      </c>
      <c r="E19">
        <v>1.0056770609095507</v>
      </c>
      <c r="F19">
        <v>2.7233503430385793</v>
      </c>
    </row>
    <row r="20" spans="2:6" x14ac:dyDescent="0.35">
      <c r="B20" t="s">
        <v>20</v>
      </c>
      <c r="C20">
        <v>5.0984170423909312</v>
      </c>
      <c r="D20">
        <v>4.4652942212881905</v>
      </c>
      <c r="E20">
        <v>2.4699941826273979</v>
      </c>
      <c r="F20">
        <v>5.1370653169743514</v>
      </c>
    </row>
    <row r="21" spans="2:6" x14ac:dyDescent="0.35">
      <c r="B21" t="s">
        <v>21</v>
      </c>
      <c r="C21">
        <v>0.54775929271619073</v>
      </c>
      <c r="D21">
        <v>-7.9882485851753213E-3</v>
      </c>
      <c r="E21">
        <v>-9.6145397389582429E-2</v>
      </c>
      <c r="F21">
        <v>0.38119863611073851</v>
      </c>
    </row>
    <row r="22" spans="2:6" x14ac:dyDescent="0.35">
      <c r="B22" t="s">
        <v>22</v>
      </c>
      <c r="C22">
        <v>1.7842387814786409</v>
      </c>
      <c r="D22">
        <v>-6.1004730450926496</v>
      </c>
      <c r="E22">
        <v>9.3369554107150208</v>
      </c>
      <c r="F22">
        <v>13.266216308465825</v>
      </c>
    </row>
    <row r="23" spans="2:6" x14ac:dyDescent="0.35">
      <c r="B23" t="s">
        <v>23</v>
      </c>
      <c r="C23">
        <v>0.69819544664296429</v>
      </c>
      <c r="D23">
        <v>4.3587626275536602</v>
      </c>
      <c r="E23">
        <v>2.4617817859444213</v>
      </c>
      <c r="F23">
        <v>-1.2388561542901796E-3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mano</dc:creator>
  <cp:lastModifiedBy>anjana mano</cp:lastModifiedBy>
  <dcterms:created xsi:type="dcterms:W3CDTF">2026-01-16T10:27:27Z</dcterms:created>
  <dcterms:modified xsi:type="dcterms:W3CDTF">2026-04-19T10:30:56Z</dcterms:modified>
</cp:coreProperties>
</file>