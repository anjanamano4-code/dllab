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EF16948-2892-4241-A7CF-8A1395C49B71}" xr6:coauthVersionLast="47" xr6:coauthVersionMax="47" xr10:uidLastSave="{00000000-0000-0000-0000-000000000000}"/>
  <bookViews>
    <workbookView xWindow="-110" yWindow="-110" windowWidth="19420" windowHeight="10300" activeTab="1" xr2:uid="{2B470F36-AB82-4408-91D7-F6D69ADB43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2" l="1"/>
  <c r="G8" i="2"/>
  <c r="K8" i="2" s="1"/>
  <c r="F8" i="2"/>
  <c r="O7" i="2"/>
  <c r="G7" i="2"/>
  <c r="K7" i="2" s="1"/>
  <c r="F7" i="2"/>
  <c r="O6" i="2"/>
  <c r="G6" i="2"/>
  <c r="J6" i="2" s="1"/>
  <c r="F6" i="2"/>
  <c r="O5" i="2"/>
  <c r="G5" i="2"/>
  <c r="J5" i="2" s="1"/>
  <c r="F5" i="2"/>
  <c r="O4" i="2"/>
  <c r="G4" i="2"/>
  <c r="F4" i="2"/>
  <c r="O3" i="2"/>
  <c r="G3" i="2"/>
  <c r="K3" i="2" s="1"/>
  <c r="N3" i="2" s="1"/>
  <c r="F3" i="2"/>
  <c r="O2" i="2"/>
  <c r="I8" i="2"/>
  <c r="H8" i="2"/>
  <c r="J7" i="2"/>
  <c r="I7" i="2"/>
  <c r="H7" i="2"/>
  <c r="I6" i="2"/>
  <c r="H6" i="2"/>
  <c r="I5" i="2"/>
  <c r="H5" i="2"/>
  <c r="M4" i="2"/>
  <c r="K4" i="2"/>
  <c r="J4" i="2"/>
  <c r="I4" i="2"/>
  <c r="H4" i="2"/>
  <c r="J3" i="2"/>
  <c r="M3" i="2" s="1"/>
  <c r="J2" i="2"/>
  <c r="I3" i="2"/>
  <c r="H3" i="2"/>
  <c r="N2" i="2"/>
  <c r="M2" i="2"/>
  <c r="K2" i="2"/>
  <c r="I2" i="2"/>
  <c r="H2" i="2"/>
  <c r="G2" i="2"/>
  <c r="F2" i="2"/>
  <c r="C9" i="2"/>
  <c r="C4" i="2"/>
  <c r="I32" i="1"/>
  <c r="D32" i="1"/>
  <c r="G32" i="1" s="1"/>
  <c r="C32" i="1"/>
  <c r="I31" i="1"/>
  <c r="G3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7" i="1"/>
  <c r="H6" i="1"/>
  <c r="H5" i="1"/>
  <c r="H4" i="1"/>
  <c r="H3" i="1"/>
  <c r="D3" i="1"/>
  <c r="G3" i="1" s="1"/>
  <c r="J8" i="2" l="1"/>
  <c r="K6" i="2"/>
  <c r="M5" i="2"/>
  <c r="M6" i="2" s="1"/>
  <c r="M7" i="2" s="1"/>
  <c r="M8" i="2" s="1"/>
  <c r="K5" i="2"/>
  <c r="N4" i="2"/>
  <c r="N5" i="2" s="1"/>
  <c r="N6" i="2" s="1"/>
  <c r="N7" i="2" s="1"/>
  <c r="N8" i="2" s="1"/>
  <c r="F32" i="1"/>
  <c r="I3" i="1"/>
  <c r="C4" i="1" s="1"/>
  <c r="D4" i="1" s="1"/>
  <c r="G4" i="1" s="1"/>
  <c r="I4" i="1" s="1"/>
  <c r="C5" i="1" s="1"/>
  <c r="F3" i="1"/>
  <c r="D5" i="1" l="1"/>
  <c r="F4" i="1"/>
  <c r="F5" i="1" l="1"/>
  <c r="G5" i="1"/>
  <c r="I5" i="1" s="1"/>
  <c r="C6" i="1" s="1"/>
  <c r="D6" i="1" l="1"/>
  <c r="F6" i="1" l="1"/>
  <c r="G6" i="1"/>
  <c r="I6" i="1" s="1"/>
  <c r="C7" i="1" s="1"/>
  <c r="D7" i="1" l="1"/>
  <c r="G7" i="1" l="1"/>
  <c r="I7" i="1" s="1"/>
  <c r="C8" i="1" s="1"/>
  <c r="F7" i="1"/>
  <c r="D8" i="1" l="1"/>
  <c r="G8" i="1" l="1"/>
  <c r="I8" i="1" s="1"/>
  <c r="C9" i="1" s="1"/>
  <c r="F8" i="1"/>
  <c r="D9" i="1" l="1"/>
  <c r="F9" i="1" l="1"/>
  <c r="G9" i="1"/>
  <c r="I9" i="1" s="1"/>
  <c r="C10" i="1" s="1"/>
  <c r="D10" i="1" l="1"/>
  <c r="F10" i="1" l="1"/>
  <c r="G10" i="1"/>
  <c r="I10" i="1" s="1"/>
  <c r="C11" i="1" s="1"/>
  <c r="D11" i="1" l="1"/>
  <c r="G11" i="1" l="1"/>
  <c r="I11" i="1" s="1"/>
  <c r="C12" i="1" s="1"/>
  <c r="F11" i="1"/>
  <c r="D12" i="1" l="1"/>
  <c r="G12" i="1" l="1"/>
  <c r="I12" i="1" s="1"/>
  <c r="C13" i="1" s="1"/>
  <c r="F12" i="1"/>
  <c r="D13" i="1" l="1"/>
  <c r="G13" i="1" l="1"/>
  <c r="I13" i="1" s="1"/>
  <c r="C14" i="1" s="1"/>
  <c r="F13" i="1"/>
  <c r="D14" i="1" l="1"/>
  <c r="G14" i="1" s="1"/>
  <c r="I14" i="1" s="1"/>
  <c r="C15" i="1" s="1"/>
  <c r="D15" i="1" l="1"/>
  <c r="F14" i="1"/>
  <c r="G15" i="1" l="1"/>
  <c r="I15" i="1" s="1"/>
  <c r="C16" i="1" s="1"/>
  <c r="F15" i="1"/>
  <c r="D16" i="1" l="1"/>
  <c r="G16" i="1" l="1"/>
  <c r="I16" i="1" s="1"/>
  <c r="C17" i="1" s="1"/>
  <c r="F16" i="1"/>
  <c r="D17" i="1" l="1"/>
  <c r="G17" i="1" l="1"/>
  <c r="I17" i="1" s="1"/>
  <c r="C18" i="1" s="1"/>
  <c r="F17" i="1"/>
  <c r="D18" i="1" l="1"/>
  <c r="G18" i="1" l="1"/>
  <c r="I18" i="1" s="1"/>
  <c r="C19" i="1" s="1"/>
  <c r="F18" i="1"/>
  <c r="D19" i="1" l="1"/>
  <c r="G19" i="1" l="1"/>
  <c r="I19" i="1" s="1"/>
  <c r="C20" i="1" s="1"/>
  <c r="F19" i="1"/>
  <c r="D20" i="1" l="1"/>
  <c r="G20" i="1" l="1"/>
  <c r="I20" i="1" s="1"/>
  <c r="C21" i="1" s="1"/>
  <c r="F20" i="1"/>
  <c r="D21" i="1" l="1"/>
  <c r="F21" i="1" l="1"/>
  <c r="G21" i="1"/>
  <c r="I21" i="1" s="1"/>
  <c r="C22" i="1" s="1"/>
  <c r="D22" i="1" l="1"/>
  <c r="F22" i="1" l="1"/>
  <c r="G22" i="1"/>
  <c r="I22" i="1" s="1"/>
  <c r="C23" i="1" s="1"/>
  <c r="D23" i="1" l="1"/>
  <c r="G23" i="1" l="1"/>
  <c r="I23" i="1" s="1"/>
  <c r="C24" i="1" s="1"/>
  <c r="F23" i="1"/>
  <c r="D24" i="1" l="1"/>
  <c r="G24" i="1" l="1"/>
  <c r="I24" i="1" s="1"/>
  <c r="C25" i="1" s="1"/>
  <c r="F24" i="1"/>
  <c r="D25" i="1" l="1"/>
  <c r="G25" i="1" l="1"/>
  <c r="I25" i="1" s="1"/>
  <c r="C26" i="1" s="1"/>
  <c r="F25" i="1"/>
  <c r="D26" i="1" l="1"/>
  <c r="F26" i="1" l="1"/>
  <c r="G26" i="1"/>
  <c r="I26" i="1" s="1"/>
  <c r="C27" i="1" s="1"/>
  <c r="D27" i="1" l="1"/>
  <c r="G27" i="1" l="1"/>
  <c r="I27" i="1" s="1"/>
  <c r="C28" i="1" s="1"/>
  <c r="F27" i="1"/>
  <c r="D28" i="1" l="1"/>
  <c r="G28" i="1" l="1"/>
  <c r="I28" i="1" s="1"/>
  <c r="C29" i="1" s="1"/>
  <c r="F28" i="1"/>
  <c r="D29" i="1" l="1"/>
  <c r="F29" i="1" l="1"/>
  <c r="G29" i="1"/>
  <c r="I29" i="1" s="1"/>
  <c r="C30" i="1" s="1"/>
  <c r="D30" i="1" s="1"/>
  <c r="F30" i="1" l="1"/>
  <c r="G30" i="1"/>
  <c r="I30" i="1" s="1"/>
  <c r="C31" i="1" s="1"/>
  <c r="D31" i="1" s="1"/>
  <c r="F31" i="1" s="1"/>
</calcChain>
</file>

<file path=xl/sharedStrings.xml><?xml version="1.0" encoding="utf-8"?>
<sst xmlns="http://schemas.openxmlformats.org/spreadsheetml/2006/main" count="29" uniqueCount="24">
  <si>
    <t>Iteration</t>
  </si>
  <si>
    <t>Input(X)</t>
  </si>
  <si>
    <t>Weight(W)</t>
  </si>
  <si>
    <t>Cost(c)</t>
  </si>
  <si>
    <t>dc/da</t>
  </si>
  <si>
    <t>da/dw</t>
  </si>
  <si>
    <t>dc/dw</t>
  </si>
  <si>
    <t>alpha</t>
  </si>
  <si>
    <t>o/p(a)</t>
  </si>
  <si>
    <t>Actual(Y)</t>
  </si>
  <si>
    <t>Input</t>
  </si>
  <si>
    <t>Weight</t>
  </si>
  <si>
    <t>Y1</t>
  </si>
  <si>
    <t>Y2</t>
  </si>
  <si>
    <t>C</t>
  </si>
  <si>
    <t>Output(Y)</t>
  </si>
  <si>
    <t>Output(a)</t>
  </si>
  <si>
    <t>da/dw1</t>
  </si>
  <si>
    <t>da/dw2</t>
  </si>
  <si>
    <t>dc/dw1</t>
  </si>
  <si>
    <t>dc/dw2</t>
  </si>
  <si>
    <t>w1</t>
  </si>
  <si>
    <t>iterations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</si>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</sst>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6245370370370371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Sheet1!$F$3:$F$32</c:f>
              <c:numCache>
                <c:formatCode>General</c:formatCode>
                <c:ptCount val="30"/>
                <c:pt idx="0">
                  <c:v>1012.5</c:v>
                </c:pt>
                <c:pt idx="1">
                  <c:v>608.1328125</c:v>
                </c:pt>
                <c:pt idx="2">
                  <c:v>365.25977050781256</c:v>
                </c:pt>
                <c:pt idx="3">
                  <c:v>219.38414966125495</c:v>
                </c:pt>
                <c:pt idx="4">
                  <c:v>131.76760489029115</c:v>
                </c:pt>
                <c:pt idx="5">
                  <c:v>79.142917687231161</c:v>
                </c:pt>
                <c:pt idx="6">
                  <c:v>47.535214935893215</c:v>
                </c:pt>
                <c:pt idx="7">
                  <c:v>28.550838470870861</c:v>
                </c:pt>
                <c:pt idx="8">
                  <c:v>17.148347356566791</c:v>
                </c:pt>
                <c:pt idx="9">
                  <c:v>10.299726131037998</c:v>
                </c:pt>
                <c:pt idx="10">
                  <c:v>6.1862730074547159</c:v>
                </c:pt>
                <c:pt idx="11">
                  <c:v>3.7156302251024549</c:v>
                </c:pt>
                <c:pt idx="12">
                  <c:v>2.2317004039521868</c:v>
                </c:pt>
                <c:pt idx="13">
                  <c:v>1.3404150551237728</c:v>
                </c:pt>
                <c:pt idx="14">
                  <c:v>0.80508679248370973</c:v>
                </c:pt>
                <c:pt idx="15">
                  <c:v>0.48355525473553029</c:v>
                </c:pt>
                <c:pt idx="16">
                  <c:v>0.29043537487553356</c:v>
                </c:pt>
                <c:pt idx="17">
                  <c:v>0.17444274703462426</c:v>
                </c:pt>
                <c:pt idx="18">
                  <c:v>0.10477467493767152</c:v>
                </c:pt>
                <c:pt idx="19">
                  <c:v>6.293028913443556E-2</c:v>
                </c:pt>
                <c:pt idx="20">
                  <c:v>3.7797504911371724E-2</c:v>
                </c:pt>
                <c:pt idx="21">
                  <c:v>2.2702126387391885E-2</c:v>
                </c:pt>
                <c:pt idx="22">
                  <c:v>1.3635464661428306E-2</c:v>
                </c:pt>
                <c:pt idx="23">
                  <c:v>8.1898009622693307E-3</c:v>
                </c:pt>
                <c:pt idx="24">
                  <c:v>4.9189992029643557E-3</c:v>
                </c:pt>
                <c:pt idx="25">
                  <c:v>2.9544738962806573E-3</c:v>
                </c:pt>
                <c:pt idx="26">
                  <c:v>1.7745308839532735E-3</c:v>
                </c:pt>
                <c:pt idx="27">
                  <c:v>1.0658276121737788E-3</c:v>
                </c:pt>
                <c:pt idx="28">
                  <c:v>6.4016270956213019E-4</c:v>
                </c:pt>
                <c:pt idx="29">
                  <c:v>3.8449772743075444E-4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C-42C2-9AC8-1082EECDB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645487"/>
        <c:axId val="1045647407"/>
      </c:scatterChart>
      <c:valAx>
        <c:axId val="1045645487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47407"/>
        <c:crosses val="autoZero"/>
        <c:crossBetween val="midCat"/>
        <c:majorUnit val="1"/>
      </c:valAx>
      <c:valAx>
        <c:axId val="10456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4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dc/dw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Sheet1!$I$3:$I$32</c:f>
              <c:numCache>
                <c:formatCode>General</c:formatCode>
                <c:ptCount val="30"/>
                <c:pt idx="0">
                  <c:v>675</c:v>
                </c:pt>
                <c:pt idx="1">
                  <c:v>523.125</c:v>
                </c:pt>
                <c:pt idx="2">
                  <c:v>405.42187500000006</c:v>
                </c:pt>
                <c:pt idx="3">
                  <c:v>314.20195312500005</c:v>
                </c:pt>
                <c:pt idx="4">
                  <c:v>243.50651367187496</c:v>
                </c:pt>
                <c:pt idx="5">
                  <c:v>188.71754809570314</c:v>
                </c:pt>
                <c:pt idx="6">
                  <c:v>146.25609977416991</c:v>
                </c:pt>
                <c:pt idx="7">
                  <c:v>113.34847732498169</c:v>
                </c:pt>
                <c:pt idx="8">
                  <c:v>87.845069926860759</c:v>
                </c:pt>
                <c:pt idx="9">
                  <c:v>68.079929193317312</c:v>
                </c:pt>
                <c:pt idx="10">
                  <c:v>52.761945124820997</c:v>
                </c:pt>
                <c:pt idx="11">
                  <c:v>40.890507471736086</c:v>
                </c:pt>
                <c:pt idx="12">
                  <c:v>31.690143290595643</c:v>
                </c:pt>
                <c:pt idx="13">
                  <c:v>24.559861050211538</c:v>
                </c:pt>
                <c:pt idx="14">
                  <c:v>19.033892313913867</c:v>
                </c:pt>
                <c:pt idx="15">
                  <c:v>14.751266543283279</c:v>
                </c:pt>
                <c:pt idx="16">
                  <c:v>11.432231571044653</c:v>
                </c:pt>
                <c:pt idx="17">
                  <c:v>8.8599794675597821</c:v>
                </c:pt>
                <c:pt idx="18">
                  <c:v>6.8664840873588417</c:v>
                </c:pt>
                <c:pt idx="19">
                  <c:v>5.3215251677029585</c:v>
                </c:pt>
                <c:pt idx="20">
                  <c:v>4.1241820049698674</c:v>
                </c:pt>
                <c:pt idx="21">
                  <c:v>3.196241053851594</c:v>
                </c:pt>
                <c:pt idx="22">
                  <c:v>2.4770868167350812</c:v>
                </c:pt>
                <c:pt idx="23">
                  <c:v>1.9197422829695654</c:v>
                </c:pt>
                <c:pt idx="24">
                  <c:v>1.4878002693016157</c:v>
                </c:pt>
                <c:pt idx="25">
                  <c:v>1.1530452087087895</c:v>
                </c:pt>
                <c:pt idx="26">
                  <c:v>0.89361003674923722</c:v>
                </c:pt>
                <c:pt idx="27">
                  <c:v>0.69254777848044569</c:v>
                </c:pt>
                <c:pt idx="28">
                  <c:v>0.53672452832245199</c:v>
                </c:pt>
                <c:pt idx="29">
                  <c:v>0.41596150944990029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2-49C8-908D-E4B18AB6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405871"/>
        <c:axId val="915402991"/>
      </c:scatterChart>
      <c:valAx>
        <c:axId val="915405871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02991"/>
        <c:crosses val="autoZero"/>
        <c:crossBetween val="midCat"/>
        <c:majorUnit val="1"/>
        <c:minorUnit val="1"/>
      </c:valAx>
      <c:valAx>
        <c:axId val="9154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0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606425</xdr:colOff>
      <xdr:row>18</xdr:row>
      <xdr:rowOff>63500</xdr:rowOff>
    </xdr:from>
    <xdr:to>
      <xdr:col>18</xdr:col>
      <xdr:colOff>301625</xdr:colOff>
      <xdr:row>33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41A110-5FA9-7961-CB76-2304355A4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434975</xdr:colOff>
      <xdr:row>11</xdr:row>
      <xdr:rowOff>12700</xdr:rowOff>
    </xdr:from>
    <xdr:to>
      <xdr:col>19</xdr:col>
      <xdr:colOff>130175</xdr:colOff>
      <xdr:row>25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E38E92-A621-037C-9372-AF4CC9420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DC45-BEA4-4C20-B9D7-B7E72620BBFE}">
  <dimension ref="A2:J32"/>
  <sheetViews>
    <sheetView workbookViewId="0">
      <selection activeCell="I3" sqref="I3:I32"/>
    </sheetView>
  </sheetViews>
  <sheetFormatPr defaultRowHeight="14.5" x14ac:dyDescent="0.35"/>
  <cols>
    <col min="3" max="3" width="11" customWidth="1"/>
  </cols>
  <sheetData>
    <row r="2" spans="1:10" x14ac:dyDescent="0.35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>
        <v>1</v>
      </c>
      <c r="B3">
        <v>15</v>
      </c>
      <c r="C3">
        <v>8</v>
      </c>
      <c r="D3">
        <f t="shared" ref="D3:D32" si="0">B3*C3</f>
        <v>120</v>
      </c>
      <c r="E3">
        <v>75</v>
      </c>
      <c r="F3">
        <f>0.5*(D3-E3)^2</f>
        <v>1012.5</v>
      </c>
      <c r="G3">
        <f t="shared" ref="G3:G30" si="1">D3-E3</f>
        <v>45</v>
      </c>
      <c r="H3">
        <f>B3</f>
        <v>15</v>
      </c>
      <c r="I3">
        <f t="shared" ref="I3:I32" si="2">G3*H3</f>
        <v>675</v>
      </c>
      <c r="J3">
        <v>1E-3</v>
      </c>
    </row>
    <row r="4" spans="1:10" x14ac:dyDescent="0.35">
      <c r="A4">
        <v>2</v>
      </c>
      <c r="B4">
        <v>15</v>
      </c>
      <c r="C4">
        <f t="shared" ref="C4:C32" si="3">C3-(J3*I3)</f>
        <v>7.3250000000000002</v>
      </c>
      <c r="D4">
        <f t="shared" si="0"/>
        <v>109.875</v>
      </c>
      <c r="E4">
        <v>75</v>
      </c>
      <c r="F4">
        <f>0.5*(D4-E4)^2</f>
        <v>608.1328125</v>
      </c>
      <c r="G4">
        <f t="shared" si="1"/>
        <v>34.875</v>
      </c>
      <c r="H4">
        <f>B4</f>
        <v>15</v>
      </c>
      <c r="I4">
        <f t="shared" si="2"/>
        <v>523.125</v>
      </c>
      <c r="J4">
        <v>1E-3</v>
      </c>
    </row>
    <row r="5" spans="1:10" x14ac:dyDescent="0.35">
      <c r="A5">
        <v>3</v>
      </c>
      <c r="B5">
        <v>15</v>
      </c>
      <c r="C5">
        <f t="shared" si="3"/>
        <v>6.8018749999999999</v>
      </c>
      <c r="D5">
        <f t="shared" si="0"/>
        <v>102.028125</v>
      </c>
      <c r="E5">
        <v>75</v>
      </c>
      <c r="F5">
        <f>0.5*(D5-E5)^2</f>
        <v>365.25977050781256</v>
      </c>
      <c r="G5">
        <f t="shared" si="1"/>
        <v>27.028125000000003</v>
      </c>
      <c r="H5">
        <f>B5</f>
        <v>15</v>
      </c>
      <c r="I5">
        <f t="shared" si="2"/>
        <v>405.42187500000006</v>
      </c>
      <c r="J5">
        <v>1E-3</v>
      </c>
    </row>
    <row r="6" spans="1:10" x14ac:dyDescent="0.35">
      <c r="A6">
        <v>4</v>
      </c>
      <c r="B6">
        <v>15</v>
      </c>
      <c r="C6">
        <f t="shared" si="3"/>
        <v>6.3964531249999999</v>
      </c>
      <c r="D6">
        <f t="shared" si="0"/>
        <v>95.946796875000004</v>
      </c>
      <c r="E6">
        <v>75</v>
      </c>
      <c r="F6">
        <f>0.5*(D6-E6)^2</f>
        <v>219.38414966125495</v>
      </c>
      <c r="G6">
        <f t="shared" si="1"/>
        <v>20.946796875000004</v>
      </c>
      <c r="H6">
        <f>B6</f>
        <v>15</v>
      </c>
      <c r="I6">
        <f t="shared" si="2"/>
        <v>314.20195312500005</v>
      </c>
      <c r="J6">
        <v>1E-3</v>
      </c>
    </row>
    <row r="7" spans="1:10" x14ac:dyDescent="0.35">
      <c r="A7">
        <v>5</v>
      </c>
      <c r="B7">
        <v>15</v>
      </c>
      <c r="C7">
        <f t="shared" si="3"/>
        <v>6.0822511718749999</v>
      </c>
      <c r="D7">
        <f t="shared" si="0"/>
        <v>91.233767578124997</v>
      </c>
      <c r="E7">
        <v>75</v>
      </c>
      <c r="F7">
        <f>0.5*(D7-E7)^2</f>
        <v>131.76760489029115</v>
      </c>
      <c r="G7">
        <f t="shared" si="1"/>
        <v>16.233767578124997</v>
      </c>
      <c r="H7">
        <f>B7</f>
        <v>15</v>
      </c>
      <c r="I7">
        <f t="shared" si="2"/>
        <v>243.50651367187496</v>
      </c>
      <c r="J7">
        <v>1E-3</v>
      </c>
    </row>
    <row r="8" spans="1:10" x14ac:dyDescent="0.35">
      <c r="A8">
        <v>6</v>
      </c>
      <c r="B8">
        <v>15</v>
      </c>
      <c r="C8">
        <f t="shared" si="3"/>
        <v>5.838744658203125</v>
      </c>
      <c r="D8">
        <f t="shared" si="0"/>
        <v>87.581169873046875</v>
      </c>
      <c r="E8">
        <v>75</v>
      </c>
      <c r="F8">
        <f t="shared" ref="F8:F32" si="4">0.5*(D8-E8)^2</f>
        <v>79.142917687231161</v>
      </c>
      <c r="G8">
        <f t="shared" si="1"/>
        <v>12.581169873046875</v>
      </c>
      <c r="H8">
        <f t="shared" ref="H8:H32" si="5">B8</f>
        <v>15</v>
      </c>
      <c r="I8">
        <f t="shared" si="2"/>
        <v>188.71754809570314</v>
      </c>
      <c r="J8">
        <v>1E-3</v>
      </c>
    </row>
    <row r="9" spans="1:10" x14ac:dyDescent="0.35">
      <c r="A9">
        <v>7</v>
      </c>
      <c r="B9">
        <v>15</v>
      </c>
      <c r="C9">
        <f t="shared" si="3"/>
        <v>5.6500271101074215</v>
      </c>
      <c r="D9">
        <f t="shared" si="0"/>
        <v>84.750406651611328</v>
      </c>
      <c r="E9">
        <v>75</v>
      </c>
      <c r="F9">
        <f t="shared" si="4"/>
        <v>47.535214935893215</v>
      </c>
      <c r="G9">
        <f t="shared" si="1"/>
        <v>9.7504066516113284</v>
      </c>
      <c r="H9">
        <f t="shared" si="5"/>
        <v>15</v>
      </c>
      <c r="I9">
        <f t="shared" si="2"/>
        <v>146.25609977416991</v>
      </c>
      <c r="J9">
        <v>1E-3</v>
      </c>
    </row>
    <row r="10" spans="1:10" x14ac:dyDescent="0.35">
      <c r="A10">
        <v>8</v>
      </c>
      <c r="B10">
        <v>15</v>
      </c>
      <c r="C10">
        <f t="shared" si="3"/>
        <v>5.503771010333252</v>
      </c>
      <c r="D10">
        <f t="shared" si="0"/>
        <v>82.556565154998779</v>
      </c>
      <c r="E10">
        <v>75</v>
      </c>
      <c r="F10">
        <f t="shared" si="4"/>
        <v>28.550838470870861</v>
      </c>
      <c r="G10">
        <f t="shared" si="1"/>
        <v>7.5565651549987791</v>
      </c>
      <c r="H10">
        <f t="shared" si="5"/>
        <v>15</v>
      </c>
      <c r="I10">
        <f t="shared" si="2"/>
        <v>113.34847732498169</v>
      </c>
      <c r="J10">
        <v>1E-3</v>
      </c>
    </row>
    <row r="11" spans="1:10" x14ac:dyDescent="0.35">
      <c r="A11">
        <v>9</v>
      </c>
      <c r="B11">
        <v>15</v>
      </c>
      <c r="C11">
        <f t="shared" si="3"/>
        <v>5.3904225330082705</v>
      </c>
      <c r="D11">
        <f t="shared" si="0"/>
        <v>80.856337995124051</v>
      </c>
      <c r="E11">
        <v>75</v>
      </c>
      <c r="F11">
        <f t="shared" si="4"/>
        <v>17.148347356566791</v>
      </c>
      <c r="G11">
        <f t="shared" si="1"/>
        <v>5.8563379951240506</v>
      </c>
      <c r="H11">
        <f t="shared" si="5"/>
        <v>15</v>
      </c>
      <c r="I11">
        <f t="shared" si="2"/>
        <v>87.845069926860759</v>
      </c>
      <c r="J11">
        <v>1E-3</v>
      </c>
    </row>
    <row r="12" spans="1:10" x14ac:dyDescent="0.35">
      <c r="A12">
        <v>10</v>
      </c>
      <c r="B12">
        <v>15</v>
      </c>
      <c r="C12">
        <f t="shared" si="3"/>
        <v>5.30257746308141</v>
      </c>
      <c r="D12">
        <f t="shared" si="0"/>
        <v>79.538661946221154</v>
      </c>
      <c r="E12">
        <v>75</v>
      </c>
      <c r="F12">
        <f t="shared" si="4"/>
        <v>10.299726131037998</v>
      </c>
      <c r="G12">
        <f t="shared" si="1"/>
        <v>4.5386619462211542</v>
      </c>
      <c r="H12">
        <f t="shared" si="5"/>
        <v>15</v>
      </c>
      <c r="I12">
        <f t="shared" si="2"/>
        <v>68.079929193317312</v>
      </c>
      <c r="J12">
        <v>1E-3</v>
      </c>
    </row>
    <row r="13" spans="1:10" x14ac:dyDescent="0.35">
      <c r="A13">
        <v>11</v>
      </c>
      <c r="B13">
        <v>15</v>
      </c>
      <c r="C13">
        <f t="shared" si="3"/>
        <v>5.234497533888093</v>
      </c>
      <c r="D13">
        <f t="shared" si="0"/>
        <v>78.5174630083214</v>
      </c>
      <c r="E13">
        <v>75</v>
      </c>
      <c r="F13">
        <f t="shared" si="4"/>
        <v>6.1862730074547159</v>
      </c>
      <c r="G13">
        <f t="shared" si="1"/>
        <v>3.5174630083213998</v>
      </c>
      <c r="H13">
        <f t="shared" si="5"/>
        <v>15</v>
      </c>
      <c r="I13">
        <f t="shared" si="2"/>
        <v>52.761945124820997</v>
      </c>
      <c r="J13">
        <v>1E-3</v>
      </c>
    </row>
    <row r="14" spans="1:10" x14ac:dyDescent="0.35">
      <c r="A14">
        <v>12</v>
      </c>
      <c r="B14">
        <v>15</v>
      </c>
      <c r="C14">
        <f t="shared" si="3"/>
        <v>5.1817355887632717</v>
      </c>
      <c r="D14">
        <f t="shared" si="0"/>
        <v>77.726033831449072</v>
      </c>
      <c r="E14">
        <v>75</v>
      </c>
      <c r="F14">
        <f t="shared" si="4"/>
        <v>3.7156302251024549</v>
      </c>
      <c r="G14">
        <f t="shared" si="1"/>
        <v>2.7260338314490724</v>
      </c>
      <c r="H14">
        <f t="shared" si="5"/>
        <v>15</v>
      </c>
      <c r="I14">
        <f t="shared" si="2"/>
        <v>40.890507471736086</v>
      </c>
      <c r="J14">
        <v>1E-3</v>
      </c>
    </row>
    <row r="15" spans="1:10" x14ac:dyDescent="0.35">
      <c r="A15">
        <v>13</v>
      </c>
      <c r="B15">
        <v>15</v>
      </c>
      <c r="C15">
        <f t="shared" si="3"/>
        <v>5.1408450812915358</v>
      </c>
      <c r="D15">
        <f t="shared" si="0"/>
        <v>77.112676219373043</v>
      </c>
      <c r="E15">
        <v>75</v>
      </c>
      <c r="F15">
        <f t="shared" si="4"/>
        <v>2.2317004039521868</v>
      </c>
      <c r="G15">
        <f t="shared" si="1"/>
        <v>2.1126762193730428</v>
      </c>
      <c r="H15">
        <f t="shared" si="5"/>
        <v>15</v>
      </c>
      <c r="I15">
        <f t="shared" si="2"/>
        <v>31.690143290595643</v>
      </c>
      <c r="J15">
        <v>1E-3</v>
      </c>
    </row>
    <row r="16" spans="1:10" x14ac:dyDescent="0.35">
      <c r="A16">
        <v>14</v>
      </c>
      <c r="B16">
        <v>15</v>
      </c>
      <c r="C16">
        <f t="shared" si="3"/>
        <v>5.1091549380009402</v>
      </c>
      <c r="D16">
        <f t="shared" si="0"/>
        <v>76.637324070014103</v>
      </c>
      <c r="E16">
        <v>75</v>
      </c>
      <c r="F16">
        <f t="shared" si="4"/>
        <v>1.3404150551237728</v>
      </c>
      <c r="G16">
        <f t="shared" si="1"/>
        <v>1.6373240700141025</v>
      </c>
      <c r="H16">
        <f t="shared" si="5"/>
        <v>15</v>
      </c>
      <c r="I16">
        <f t="shared" si="2"/>
        <v>24.559861050211538</v>
      </c>
      <c r="J16">
        <v>1E-3</v>
      </c>
    </row>
    <row r="17" spans="1:10" x14ac:dyDescent="0.35">
      <c r="A17">
        <v>15</v>
      </c>
      <c r="B17">
        <v>15</v>
      </c>
      <c r="C17">
        <f t="shared" si="3"/>
        <v>5.0845950769507287</v>
      </c>
      <c r="D17">
        <f t="shared" si="0"/>
        <v>76.268926154260924</v>
      </c>
      <c r="E17">
        <v>75</v>
      </c>
      <c r="F17">
        <f t="shared" si="4"/>
        <v>0.80508679248370973</v>
      </c>
      <c r="G17">
        <f t="shared" si="1"/>
        <v>1.2689261542609245</v>
      </c>
      <c r="H17">
        <f t="shared" si="5"/>
        <v>15</v>
      </c>
      <c r="I17">
        <f t="shared" si="2"/>
        <v>19.033892313913867</v>
      </c>
      <c r="J17">
        <v>1E-3</v>
      </c>
    </row>
    <row r="18" spans="1:10" x14ac:dyDescent="0.35">
      <c r="A18">
        <v>16</v>
      </c>
      <c r="B18">
        <v>15</v>
      </c>
      <c r="C18">
        <f t="shared" si="3"/>
        <v>5.0655611846368149</v>
      </c>
      <c r="D18">
        <f t="shared" si="0"/>
        <v>75.983417769552219</v>
      </c>
      <c r="E18">
        <v>75</v>
      </c>
      <c r="F18">
        <f t="shared" si="4"/>
        <v>0.48355525473553029</v>
      </c>
      <c r="G18">
        <f t="shared" si="1"/>
        <v>0.9834177695522186</v>
      </c>
      <c r="H18">
        <f t="shared" si="5"/>
        <v>15</v>
      </c>
      <c r="I18">
        <f t="shared" si="2"/>
        <v>14.751266543283279</v>
      </c>
      <c r="J18">
        <v>1E-3</v>
      </c>
    </row>
    <row r="19" spans="1:10" x14ac:dyDescent="0.35">
      <c r="A19">
        <v>17</v>
      </c>
      <c r="B19">
        <v>15</v>
      </c>
      <c r="C19">
        <f t="shared" si="3"/>
        <v>5.050809918093532</v>
      </c>
      <c r="D19">
        <f t="shared" si="0"/>
        <v>75.762148771402977</v>
      </c>
      <c r="E19">
        <v>75</v>
      </c>
      <c r="F19">
        <f t="shared" si="4"/>
        <v>0.29043537487553356</v>
      </c>
      <c r="G19">
        <f t="shared" si="1"/>
        <v>0.76214877140297688</v>
      </c>
      <c r="H19">
        <f t="shared" si="5"/>
        <v>15</v>
      </c>
      <c r="I19">
        <f t="shared" si="2"/>
        <v>11.432231571044653</v>
      </c>
      <c r="J19">
        <v>1E-3</v>
      </c>
    </row>
    <row r="20" spans="1:10" x14ac:dyDescent="0.35">
      <c r="A20">
        <v>18</v>
      </c>
      <c r="B20">
        <v>15</v>
      </c>
      <c r="C20">
        <f t="shared" si="3"/>
        <v>5.0393776865224877</v>
      </c>
      <c r="D20">
        <f t="shared" si="0"/>
        <v>75.590665297837319</v>
      </c>
      <c r="E20">
        <v>75</v>
      </c>
      <c r="F20">
        <f t="shared" si="4"/>
        <v>0.17444274703462426</v>
      </c>
      <c r="G20">
        <f t="shared" si="1"/>
        <v>0.5906652978373188</v>
      </c>
      <c r="H20">
        <f t="shared" si="5"/>
        <v>15</v>
      </c>
      <c r="I20">
        <f t="shared" si="2"/>
        <v>8.8599794675597821</v>
      </c>
      <c r="J20">
        <v>1E-3</v>
      </c>
    </row>
    <row r="21" spans="1:10" x14ac:dyDescent="0.35">
      <c r="A21">
        <v>19</v>
      </c>
      <c r="B21">
        <v>15</v>
      </c>
      <c r="C21">
        <f t="shared" si="3"/>
        <v>5.0305177070549281</v>
      </c>
      <c r="D21">
        <f t="shared" si="0"/>
        <v>75.457765605823923</v>
      </c>
      <c r="E21">
        <v>75</v>
      </c>
      <c r="F21">
        <f t="shared" si="4"/>
        <v>0.10477467493767152</v>
      </c>
      <c r="G21">
        <f t="shared" si="1"/>
        <v>0.45776560582392278</v>
      </c>
      <c r="H21">
        <f t="shared" si="5"/>
        <v>15</v>
      </c>
      <c r="I21">
        <f t="shared" si="2"/>
        <v>6.8664840873588417</v>
      </c>
      <c r="J21">
        <v>1E-3</v>
      </c>
    </row>
    <row r="22" spans="1:10" x14ac:dyDescent="0.35">
      <c r="A22">
        <v>20</v>
      </c>
      <c r="B22">
        <v>15</v>
      </c>
      <c r="C22">
        <f t="shared" si="3"/>
        <v>5.0236512229675689</v>
      </c>
      <c r="D22">
        <f t="shared" si="0"/>
        <v>75.354768344513531</v>
      </c>
      <c r="E22">
        <v>75</v>
      </c>
      <c r="F22">
        <f t="shared" si="4"/>
        <v>6.293028913443556E-2</v>
      </c>
      <c r="G22">
        <f t="shared" si="1"/>
        <v>0.35476834451353056</v>
      </c>
      <c r="H22">
        <f t="shared" si="5"/>
        <v>15</v>
      </c>
      <c r="I22">
        <f t="shared" si="2"/>
        <v>5.3215251677029585</v>
      </c>
      <c r="J22">
        <v>1E-3</v>
      </c>
    </row>
    <row r="23" spans="1:10" x14ac:dyDescent="0.35">
      <c r="A23">
        <v>21</v>
      </c>
      <c r="B23">
        <v>15</v>
      </c>
      <c r="C23">
        <f t="shared" si="3"/>
        <v>5.0183296977998664</v>
      </c>
      <c r="D23">
        <f t="shared" si="0"/>
        <v>75.274945466997991</v>
      </c>
      <c r="E23">
        <v>75</v>
      </c>
      <c r="F23">
        <f t="shared" si="4"/>
        <v>3.7797504911371724E-2</v>
      </c>
      <c r="G23">
        <f t="shared" si="1"/>
        <v>0.27494546699799116</v>
      </c>
      <c r="H23">
        <f t="shared" si="5"/>
        <v>15</v>
      </c>
      <c r="I23">
        <f t="shared" si="2"/>
        <v>4.1241820049698674</v>
      </c>
      <c r="J23">
        <v>1E-3</v>
      </c>
    </row>
    <row r="24" spans="1:10" x14ac:dyDescent="0.35">
      <c r="A24">
        <v>22</v>
      </c>
      <c r="B24">
        <v>15</v>
      </c>
      <c r="C24">
        <f t="shared" si="3"/>
        <v>5.0142055157948962</v>
      </c>
      <c r="D24">
        <f t="shared" si="0"/>
        <v>75.21308273692344</v>
      </c>
      <c r="E24">
        <v>75</v>
      </c>
      <c r="F24">
        <f t="shared" si="4"/>
        <v>2.2702126387391885E-2</v>
      </c>
      <c r="G24">
        <f t="shared" si="1"/>
        <v>0.2130827369234396</v>
      </c>
      <c r="H24">
        <f t="shared" si="5"/>
        <v>15</v>
      </c>
      <c r="I24">
        <f t="shared" si="2"/>
        <v>3.196241053851594</v>
      </c>
      <c r="J24">
        <v>1E-3</v>
      </c>
    </row>
    <row r="25" spans="1:10" x14ac:dyDescent="0.35">
      <c r="A25">
        <v>23</v>
      </c>
      <c r="B25">
        <v>15</v>
      </c>
      <c r="C25">
        <f t="shared" si="3"/>
        <v>5.0110092747410446</v>
      </c>
      <c r="D25">
        <f t="shared" si="0"/>
        <v>75.165139121115672</v>
      </c>
      <c r="E25">
        <v>75</v>
      </c>
      <c r="F25">
        <f t="shared" si="4"/>
        <v>1.3635464661428306E-2</v>
      </c>
      <c r="G25">
        <f t="shared" si="1"/>
        <v>0.16513912111567208</v>
      </c>
      <c r="H25">
        <f t="shared" si="5"/>
        <v>15</v>
      </c>
      <c r="I25">
        <f t="shared" si="2"/>
        <v>2.4770868167350812</v>
      </c>
      <c r="J25">
        <v>1E-3</v>
      </c>
    </row>
    <row r="26" spans="1:10" x14ac:dyDescent="0.35">
      <c r="A26">
        <v>24</v>
      </c>
      <c r="B26">
        <v>15</v>
      </c>
      <c r="C26">
        <f t="shared" si="3"/>
        <v>5.0085321879243097</v>
      </c>
      <c r="D26">
        <f t="shared" si="0"/>
        <v>75.127982818864638</v>
      </c>
      <c r="E26">
        <v>75</v>
      </c>
      <c r="F26">
        <f t="shared" si="4"/>
        <v>8.1898009622693307E-3</v>
      </c>
      <c r="G26">
        <f t="shared" si="1"/>
        <v>0.12798281886463769</v>
      </c>
      <c r="H26">
        <f t="shared" si="5"/>
        <v>15</v>
      </c>
      <c r="I26">
        <f t="shared" si="2"/>
        <v>1.9197422829695654</v>
      </c>
      <c r="J26">
        <v>1E-3</v>
      </c>
    </row>
    <row r="27" spans="1:10" x14ac:dyDescent="0.35">
      <c r="A27">
        <v>25</v>
      </c>
      <c r="B27">
        <v>15</v>
      </c>
      <c r="C27">
        <f t="shared" si="3"/>
        <v>5.0066124456413403</v>
      </c>
      <c r="D27">
        <f t="shared" si="0"/>
        <v>75.099186684620108</v>
      </c>
      <c r="E27">
        <v>75</v>
      </c>
      <c r="F27">
        <f t="shared" si="4"/>
        <v>4.9189992029643557E-3</v>
      </c>
      <c r="G27">
        <f t="shared" si="1"/>
        <v>9.9186684620107712E-2</v>
      </c>
      <c r="H27">
        <f t="shared" si="5"/>
        <v>15</v>
      </c>
      <c r="I27">
        <f t="shared" si="2"/>
        <v>1.4878002693016157</v>
      </c>
      <c r="J27">
        <v>1E-3</v>
      </c>
    </row>
    <row r="28" spans="1:10" x14ac:dyDescent="0.35">
      <c r="A28">
        <v>26</v>
      </c>
      <c r="B28">
        <v>15</v>
      </c>
      <c r="C28">
        <f t="shared" si="3"/>
        <v>5.0051246453720388</v>
      </c>
      <c r="D28">
        <f t="shared" si="0"/>
        <v>75.076869680580586</v>
      </c>
      <c r="E28">
        <v>75</v>
      </c>
      <c r="F28">
        <f t="shared" si="4"/>
        <v>2.9544738962806573E-3</v>
      </c>
      <c r="G28">
        <f t="shared" si="1"/>
        <v>7.6869680580585964E-2</v>
      </c>
      <c r="H28">
        <f t="shared" si="5"/>
        <v>15</v>
      </c>
      <c r="I28">
        <f t="shared" si="2"/>
        <v>1.1530452087087895</v>
      </c>
      <c r="J28">
        <v>1E-3</v>
      </c>
    </row>
    <row r="29" spans="1:10" x14ac:dyDescent="0.35">
      <c r="A29">
        <v>27</v>
      </c>
      <c r="B29">
        <v>15</v>
      </c>
      <c r="C29">
        <f t="shared" si="3"/>
        <v>5.0039716001633296</v>
      </c>
      <c r="D29">
        <f t="shared" si="0"/>
        <v>75.059574002449949</v>
      </c>
      <c r="E29">
        <v>75</v>
      </c>
      <c r="F29">
        <f t="shared" si="4"/>
        <v>1.7745308839532735E-3</v>
      </c>
      <c r="G29">
        <f t="shared" si="1"/>
        <v>5.9574002449949148E-2</v>
      </c>
      <c r="H29">
        <f t="shared" si="5"/>
        <v>15</v>
      </c>
      <c r="I29">
        <f t="shared" si="2"/>
        <v>0.89361003674923722</v>
      </c>
      <c r="J29">
        <v>1E-3</v>
      </c>
    </row>
    <row r="30" spans="1:10" x14ac:dyDescent="0.35">
      <c r="A30">
        <v>28</v>
      </c>
      <c r="B30">
        <v>15</v>
      </c>
      <c r="C30">
        <f t="shared" si="3"/>
        <v>5.0030779901265801</v>
      </c>
      <c r="D30">
        <f t="shared" si="0"/>
        <v>75.046169851898696</v>
      </c>
      <c r="E30">
        <v>75</v>
      </c>
      <c r="F30">
        <f t="shared" si="4"/>
        <v>1.0658276121737788E-3</v>
      </c>
      <c r="G30">
        <f t="shared" si="1"/>
        <v>4.6169851898696379E-2</v>
      </c>
      <c r="H30">
        <f t="shared" si="5"/>
        <v>15</v>
      </c>
      <c r="I30">
        <f t="shared" si="2"/>
        <v>0.69254777848044569</v>
      </c>
      <c r="J30">
        <v>1E-3</v>
      </c>
    </row>
    <row r="31" spans="1:10" x14ac:dyDescent="0.35">
      <c r="A31">
        <v>29</v>
      </c>
      <c r="B31">
        <v>15</v>
      </c>
      <c r="C31">
        <f t="shared" si="3"/>
        <v>5.0023854423480998</v>
      </c>
      <c r="D31">
        <f t="shared" si="0"/>
        <v>75.035781635221497</v>
      </c>
      <c r="E31">
        <v>75</v>
      </c>
      <c r="F31">
        <f t="shared" si="4"/>
        <v>6.4016270956213019E-4</v>
      </c>
      <c r="G31">
        <f t="shared" ref="G31:G32" si="6">D31-E31</f>
        <v>3.5781635221496799E-2</v>
      </c>
      <c r="H31">
        <f t="shared" si="5"/>
        <v>15</v>
      </c>
      <c r="I31">
        <f t="shared" si="2"/>
        <v>0.53672452832245199</v>
      </c>
      <c r="J31">
        <v>1E-3</v>
      </c>
    </row>
    <row r="32" spans="1:10" x14ac:dyDescent="0.35">
      <c r="A32">
        <v>30</v>
      </c>
      <c r="B32">
        <v>15</v>
      </c>
      <c r="C32">
        <f t="shared" si="3"/>
        <v>5.0018487178197777</v>
      </c>
      <c r="D32">
        <f t="shared" si="0"/>
        <v>75.02773076729666</v>
      </c>
      <c r="E32">
        <v>75</v>
      </c>
      <c r="F32">
        <f t="shared" si="4"/>
        <v>3.8449772743075444E-4</v>
      </c>
      <c r="G32">
        <f t="shared" si="6"/>
        <v>2.7730767296660019E-2</v>
      </c>
      <c r="H32">
        <f t="shared" si="5"/>
        <v>15</v>
      </c>
      <c r="I32">
        <f t="shared" si="2"/>
        <v>0.41596150944990029</v>
      </c>
      <c r="J32">
        <v>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AD0F-4482-44D5-AC04-A7514A03E6BE}">
  <dimension ref="A1:O9"/>
  <sheetViews>
    <sheetView tabSelected="1" workbookViewId="0">
      <selection activeCell="O9" sqref="O9"/>
    </sheetView>
  </sheetViews>
  <sheetFormatPr defaultRowHeight="14.5" x14ac:dyDescent="0.35"/>
  <sheetData>
    <row r="1" spans="1:15" x14ac:dyDescent="0.35">
      <c r="A1" t="s">
        <v>10</v>
      </c>
      <c r="B1" t="s">
        <v>11</v>
      </c>
      <c r="C1" t="s">
        <v>15</v>
      </c>
      <c r="E1" t="s">
        <v>22</v>
      </c>
      <c r="F1" t="s">
        <v>14</v>
      </c>
      <c r="G1" t="s">
        <v>4</v>
      </c>
      <c r="H1" t="s">
        <v>17</v>
      </c>
      <c r="I1" t="s">
        <v>18</v>
      </c>
      <c r="J1" t="s">
        <v>19</v>
      </c>
      <c r="K1" t="s">
        <v>20</v>
      </c>
      <c r="L1" t="s">
        <v>7</v>
      </c>
      <c r="M1" t="s">
        <v>21</v>
      </c>
      <c r="N1" t="s">
        <v>23</v>
      </c>
      <c r="O1" t="s">
        <v>16</v>
      </c>
    </row>
    <row r="2" spans="1:15" x14ac:dyDescent="0.35">
      <c r="A2">
        <v>8</v>
      </c>
      <c r="B2">
        <v>3</v>
      </c>
      <c r="C2" t="s">
        <v>12</v>
      </c>
      <c r="E2">
        <v>1</v>
      </c>
      <c r="F2">
        <f>0.5*(C9-C4)^2</f>
        <v>55.125</v>
      </c>
      <c r="G2">
        <f>C9-C4</f>
        <v>-10.5</v>
      </c>
      <c r="H2">
        <f>A2</f>
        <v>8</v>
      </c>
      <c r="I2">
        <f>A3</f>
        <v>5</v>
      </c>
      <c r="J2">
        <f>G2*H2</f>
        <v>-84</v>
      </c>
      <c r="K2">
        <f>G2*I2</f>
        <v>-52.5</v>
      </c>
      <c r="L2">
        <v>5.0000000000000001E-3</v>
      </c>
      <c r="M2">
        <f>B7-(L2*J2)</f>
        <v>2.42</v>
      </c>
      <c r="N2">
        <f>B8-(L2*K2)</f>
        <v>7.7625000000000002</v>
      </c>
      <c r="O2">
        <f>A7*M2+A8*N2</f>
        <v>58.172499999999999</v>
      </c>
    </row>
    <row r="3" spans="1:15" x14ac:dyDescent="0.35">
      <c r="A3">
        <v>5</v>
      </c>
      <c r="B3">
        <v>8</v>
      </c>
      <c r="C3" t="s">
        <v>13</v>
      </c>
      <c r="E3">
        <v>2</v>
      </c>
      <c r="F3">
        <f>0.5*(O2-C4)^2</f>
        <v>16.979878125000003</v>
      </c>
      <c r="G3">
        <f>O2-C4</f>
        <v>-5.8275000000000006</v>
      </c>
      <c r="H3">
        <f>A2</f>
        <v>8</v>
      </c>
      <c r="I3">
        <f>A3</f>
        <v>5</v>
      </c>
      <c r="J3">
        <f>G3*H3</f>
        <v>-46.620000000000005</v>
      </c>
      <c r="K3">
        <f>G3*I3</f>
        <v>-29.137500000000003</v>
      </c>
      <c r="L3">
        <v>5.0000000000000001E-3</v>
      </c>
      <c r="M3">
        <f>M2-(L3*J3)</f>
        <v>2.6530999999999998</v>
      </c>
      <c r="N3">
        <f>N2-(L3*K3)</f>
        <v>7.9081875000000004</v>
      </c>
      <c r="O3">
        <f>A7*M3+A8*N3</f>
        <v>60.7657375</v>
      </c>
    </row>
    <row r="4" spans="1:15" x14ac:dyDescent="0.35">
      <c r="C4">
        <f>A2*B2+A3*B3</f>
        <v>64</v>
      </c>
      <c r="E4">
        <v>3</v>
      </c>
      <c r="F4">
        <f>0.5*(O3-C4)^2</f>
        <v>5.2302269594531241</v>
      </c>
      <c r="G4">
        <f>O3-C4</f>
        <v>-3.2342624999999998</v>
      </c>
      <c r="H4">
        <f>A7</f>
        <v>8</v>
      </c>
      <c r="I4">
        <f>A8</f>
        <v>5</v>
      </c>
      <c r="J4">
        <f>G4*H4</f>
        <v>-25.874099999999999</v>
      </c>
      <c r="K4">
        <f>G4*I4</f>
        <v>-16.171312499999999</v>
      </c>
      <c r="L4">
        <v>5.0000000000000001E-3</v>
      </c>
      <c r="M4">
        <f>M3-(L4*J4)</f>
        <v>2.7824704999999996</v>
      </c>
      <c r="N4">
        <f>N3-(L4*K4)</f>
        <v>7.9890440625000005</v>
      </c>
      <c r="O4">
        <f>A7*M4+A8*N4</f>
        <v>62.204984312500002</v>
      </c>
    </row>
    <row r="5" spans="1:15" x14ac:dyDescent="0.35">
      <c r="E5">
        <v>4</v>
      </c>
      <c r="F5">
        <f>0.5*(O4-C4)^2</f>
        <v>1.6110406591855446</v>
      </c>
      <c r="G5">
        <f>O4-C4</f>
        <v>-1.7950156874999976</v>
      </c>
      <c r="H5">
        <f>A7</f>
        <v>8</v>
      </c>
      <c r="I5">
        <f>A8</f>
        <v>5</v>
      </c>
      <c r="J5">
        <f>G5*H5</f>
        <v>-14.360125499999981</v>
      </c>
      <c r="K5">
        <f>G5*I5</f>
        <v>-8.9750784374999881</v>
      </c>
      <c r="L5">
        <v>5.0000000000000001E-3</v>
      </c>
      <c r="M5">
        <f>M4-(L5*J5)</f>
        <v>2.8542711274999997</v>
      </c>
      <c r="N5">
        <f>N4-(L5*K5)</f>
        <v>8.033919454687501</v>
      </c>
      <c r="O5">
        <f>A7*M5+A8*N5</f>
        <v>63.003766293437501</v>
      </c>
    </row>
    <row r="6" spans="1:15" x14ac:dyDescent="0.35">
      <c r="A6" t="s">
        <v>10</v>
      </c>
      <c r="B6" t="s">
        <v>11</v>
      </c>
      <c r="C6" t="s">
        <v>16</v>
      </c>
      <c r="E6">
        <v>5</v>
      </c>
      <c r="F6">
        <f>0.5*(O5-C4)^2</f>
        <v>0.49624079904562801</v>
      </c>
      <c r="G6">
        <f>O5-C4</f>
        <v>-0.99623370656249932</v>
      </c>
      <c r="H6">
        <f>A7</f>
        <v>8</v>
      </c>
      <c r="I6">
        <f>A8</f>
        <v>5</v>
      </c>
      <c r="J6">
        <f>G6*H6</f>
        <v>-7.9698696524999946</v>
      </c>
      <c r="K6">
        <f>G6*I6</f>
        <v>-4.9811685328124966</v>
      </c>
      <c r="L6">
        <v>5.0000000000000001E-3</v>
      </c>
      <c r="M6">
        <f>M5-(L6*J6)</f>
        <v>2.8941204757624996</v>
      </c>
      <c r="N6">
        <f>N5-(L6*K6)</f>
        <v>8.0588252973515644</v>
      </c>
      <c r="O6">
        <f>A7*M6+A8*N6</f>
        <v>63.447090292857816</v>
      </c>
    </row>
    <row r="7" spans="1:15" x14ac:dyDescent="0.35">
      <c r="A7">
        <v>8</v>
      </c>
      <c r="B7">
        <v>2</v>
      </c>
      <c r="E7">
        <v>6</v>
      </c>
      <c r="F7">
        <f>0.5*(O6-C4)^2</f>
        <v>0.1528545721260281</v>
      </c>
      <c r="G7">
        <f>O6-C4</f>
        <v>-0.55290970714218446</v>
      </c>
      <c r="H7">
        <f>A7</f>
        <v>8</v>
      </c>
      <c r="I7">
        <f>A8</f>
        <v>5</v>
      </c>
      <c r="J7">
        <f>G7*H7</f>
        <v>-4.4232776571374757</v>
      </c>
      <c r="K7">
        <f>G7*I7</f>
        <v>-2.7645485357109223</v>
      </c>
      <c r="L7">
        <v>5.0000000000000001E-3</v>
      </c>
      <c r="M7">
        <f>M6-(L7*J7)</f>
        <v>2.9162368640481868</v>
      </c>
      <c r="N7">
        <f>N6-(L7*K7)</f>
        <v>8.0726480400301188</v>
      </c>
      <c r="O7">
        <f>A7*M7+A8*N7</f>
        <v>63.693135112536083</v>
      </c>
    </row>
    <row r="8" spans="1:15" x14ac:dyDescent="0.35">
      <c r="A8">
        <v>5</v>
      </c>
      <c r="B8">
        <v>7.5</v>
      </c>
      <c r="E8">
        <v>7</v>
      </c>
      <c r="F8">
        <f>0.5*(O7-C4)^2</f>
        <v>4.7083029579121104E-2</v>
      </c>
      <c r="G8">
        <f>O7-C4</f>
        <v>-0.3068648874639166</v>
      </c>
      <c r="H8">
        <f>A7</f>
        <v>8</v>
      </c>
      <c r="I8">
        <f>A8</f>
        <v>5</v>
      </c>
      <c r="J8">
        <f>G8*H8</f>
        <v>-2.4549190997113328</v>
      </c>
      <c r="K8">
        <f>G8*I8</f>
        <v>-1.534324437319583</v>
      </c>
      <c r="L8">
        <v>5.0000000000000001E-3</v>
      </c>
      <c r="M8">
        <f>M7-(L8*J8)</f>
        <v>2.9285114595467436</v>
      </c>
      <c r="N8">
        <f>N7-(L8*K8)</f>
        <v>8.0803196622167164</v>
      </c>
      <c r="O8">
        <f>A7*M8+A8*N8</f>
        <v>63.829689987457527</v>
      </c>
    </row>
    <row r="9" spans="1:15" x14ac:dyDescent="0.35">
      <c r="C9">
        <f>A7*B7+A8*B8</f>
        <v>53.5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mano</dc:creator>
  <cp:lastModifiedBy>anjana mano</cp:lastModifiedBy>
  <dcterms:created xsi:type="dcterms:W3CDTF">2026-01-30T05:35:31Z</dcterms:created>
  <dcterms:modified xsi:type="dcterms:W3CDTF">2026-01-30T17:15:36Z</dcterms:modified>
</cp:coreProperties>
</file>